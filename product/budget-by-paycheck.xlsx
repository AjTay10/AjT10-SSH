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Paychecks" sheetId="3" state="visible" r:id="rId5"/>
    <sheet name="Plan" sheetId="4" state="visible" r:id="rId6"/>
    <sheet name="Spending" sheetId="5" state="visible" r:id="rId7"/>
    <sheet name="Dashboard" sheetId="6" state="visible" r:id="rId8"/>
  </sheets>
  <definedNames>
    <definedName function="false" hidden="false" name="Categories" vbProcedure="false">Setup!$A$11:$A$30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<sst xmlns="http://schemas.openxmlformats.org/spreadsheetml/2006/main" count="82" uniqueCount="73">
  <si>
    <t xml:space="preserve">Budget by Paycheck</t>
  </si>
  <si>
    <t xml:space="preserve">Works in Microsoft Excel AND Google Sheets. Undated - start any payday, any year.</t>
  </si>
  <si>
    <t xml:space="preserve">QUICK START</t>
  </si>
  <si>
    <t xml:space="preserve">1.  Setup tab - pick your pay frequency, enter your next payday and your usual paycheck amount.</t>
  </si>
  <si>
    <t xml:space="preserve">2.  Plan tab - list each bill or expense and type the paycheck number (1, 2, 3...) that will pay for it.</t>
  </si>
  <si>
    <t xml:space="preserve">3.  Spending tab - log what you actually spend. The paycheck number fills in automatically from the date.</t>
  </si>
  <si>
    <t xml:space="preserve">4.  Dashboard tab - see planned vs actual for every paycheck and every category.</t>
  </si>
  <si>
    <t xml:space="preserve">LEGEND</t>
  </si>
  <si>
    <t xml:space="preserve">Cream cells = type here.  Everything else calculates automatically - no need to touch it.</t>
  </si>
  <si>
    <t xml:space="preserve">The Plan and Spending tabs each contain one grey example row. Replace it with your own numbers.</t>
  </si>
  <si>
    <t xml:space="preserve">USING GOOGLE SHEETS?</t>
  </si>
  <si>
    <t xml:space="preserve">Go to sheets.new  &gt;  File  &gt;  Import  &gt;  Upload  &gt;  choose this file  &gt;  'Replace spreadsheet'.</t>
  </si>
  <si>
    <t xml:space="preserve">Every formula in this file is fully compatible - nothing breaks on import.</t>
  </si>
  <si>
    <t xml:space="preserve">TIPS</t>
  </si>
  <si>
    <t xml:space="preserve">Paychecks covers 26 pay periods (a full year if biweekly). Paid weekly? Select the last row of the</t>
  </si>
  <si>
    <t xml:space="preserve">Paychecks tab and drag the corner handle down to add more periods - the formulas extend themselves.</t>
  </si>
  <si>
    <t xml:space="preserve">Rename or add categories on the Setup tab - every dropdown updates automatically.</t>
  </si>
  <si>
    <t xml:space="preserve">Semi-monthly pays on your chosen start day and the 15 days that follow it (e.g. the 1st and the 16th).</t>
  </si>
  <si>
    <t xml:space="preserve">Setup</t>
  </si>
  <si>
    <t xml:space="preserve">Pay frequency</t>
  </si>
  <si>
    <t xml:space="preserve">Biweekly</t>
  </si>
  <si>
    <t xml:space="preserve">Weekly, Biweekly, Semi-monthly, or Monthly</t>
  </si>
  <si>
    <t xml:space="preserve">First payday</t>
  </si>
  <si>
    <t xml:space="preserve">Your next payday - every pay date builds from this</t>
  </si>
  <si>
    <t xml:space="preserve">Usual paycheck amount</t>
  </si>
  <si>
    <t xml:space="preserve">Used for any paycheck you don't override on the Paychecks tab</t>
  </si>
  <si>
    <t xml:space="preserve">Spending categories</t>
  </si>
  <si>
    <t xml:space="preserve">Edit freely - dropdowns on the Plan and Spending tabs follow this list</t>
  </si>
  <si>
    <t xml:space="preserve">Rent / Mortgage</t>
  </si>
  <si>
    <t xml:space="preserve">Utilities</t>
  </si>
  <si>
    <t xml:space="preserve">Groceries</t>
  </si>
  <si>
    <t xml:space="preserve">Transport</t>
  </si>
  <si>
    <t xml:space="preserve">Insurance</t>
  </si>
  <si>
    <t xml:space="preserve">Debt Payments</t>
  </si>
  <si>
    <t xml:space="preserve">Subscriptions</t>
  </si>
  <si>
    <t xml:space="preserve">Dining Out</t>
  </si>
  <si>
    <t xml:space="preserve">Health</t>
  </si>
  <si>
    <t xml:space="preserve">Savings</t>
  </si>
  <si>
    <t xml:space="preserve">Giving</t>
  </si>
  <si>
    <t xml:space="preserve">Fun</t>
  </si>
  <si>
    <t xml:space="preserve">Kids</t>
  </si>
  <si>
    <t xml:space="preserve">Pets</t>
  </si>
  <si>
    <t xml:space="preserve">Misc</t>
  </si>
  <si>
    <t xml:space="preserve">#</t>
  </si>
  <si>
    <t xml:space="preserve">Pay Date</t>
  </si>
  <si>
    <t xml:space="preserve">Income (override)</t>
  </si>
  <si>
    <t xml:space="preserve">Income Used</t>
  </si>
  <si>
    <t xml:space="preserve">Planned Spending</t>
  </si>
  <si>
    <t xml:space="preserve">Actual Spending</t>
  </si>
  <si>
    <t xml:space="preserve">Planned Leftover</t>
  </si>
  <si>
    <t xml:space="preserve">Actual Leftover</t>
  </si>
  <si>
    <t xml:space="preserve">Paycheck #</t>
  </si>
  <si>
    <t xml:space="preserve">Bill / Item</t>
  </si>
  <si>
    <t xml:space="preserve">Category</t>
  </si>
  <si>
    <t xml:space="preserve">Planned Amount</t>
  </si>
  <si>
    <t xml:space="preserve">Rent - example row, replace me</t>
  </si>
  <si>
    <t xml:space="preserve">Date</t>
  </si>
  <si>
    <t xml:space="preserve">Description</t>
  </si>
  <si>
    <t xml:space="preserve">Amount</t>
  </si>
  <si>
    <t xml:space="preserve">Paycheck # (auto)</t>
  </si>
  <si>
    <t xml:space="preserve">Groceries - example row, replace me</t>
  </si>
  <si>
    <t xml:space="preserve">Dashboard</t>
  </si>
  <si>
    <t xml:space="preserve">Total income</t>
  </si>
  <si>
    <t xml:space="preserve">Total planned</t>
  </si>
  <si>
    <t xml:space="preserve">Total spent</t>
  </si>
  <si>
    <t xml:space="preserve">Leftover (actual)</t>
  </si>
  <si>
    <t xml:space="preserve">By category</t>
  </si>
  <si>
    <t xml:space="preserve">Planned</t>
  </si>
  <si>
    <t xml:space="preserve">Actual</t>
  </si>
  <si>
    <t xml:space="preserve">Difference</t>
  </si>
  <si>
    <t xml:space="preserve">By paycheck</t>
  </si>
  <si>
    <t xml:space="preserve">Income</t>
  </si>
  <si>
    <t xml:space="preserve">Leftover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</si>
</sst>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;[RED]&quot;-$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6B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2"/>
      <color rgb="FF1F6F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DF"/>
        <bgColor rgb="FFF9F9F9"/>
      </patternFill>
    </fill>
    <fill>
      <patternFill patternType="solid">
        <fgColor rgb="FF1F6F6B"/>
        <bgColor rgb="FF008080"/>
      </patternFill>
    </fill>
    <fill>
      <patternFill patternType="solid">
        <fgColor rgb="FFE4F0E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F6F6B"/>
      <rgbColor rgb="FFC9C9C9"/>
      <rgbColor rgb="FF878787"/>
      <rgbColor rgb="FF9999FF"/>
      <rgbColor rgb="FFC0504D"/>
      <rgbColor rgb="FFFFF6DF"/>
      <rgbColor rgb="FFE4F0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Planned vs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Dashboard!B7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Dashboard!$A$8:$A$22</c:f>
              <c:strCache>
                <c:ptCount val="15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</c:v>
                </c:pt>
                <c:pt idx="4">
                  <c:v>Insurance</c:v>
                </c:pt>
                <c:pt idx="5">
                  <c:v>Debt Payments</c:v>
                </c:pt>
                <c:pt idx="6">
                  <c:v>Subscriptions</c:v>
                </c:pt>
                <c:pt idx="7">
                  <c:v>Dining Out</c:v>
                </c:pt>
                <c:pt idx="8">
                  <c:v>Health</c:v>
                </c:pt>
                <c:pt idx="9">
                  <c:v>Savings</c:v>
                </c:pt>
                <c:pt idx="10">
                  <c:v>Giving</c:v>
                </c:pt>
                <c:pt idx="11">
                  <c:v>Fun</c:v>
                </c:pt>
                <c:pt idx="12">
                  <c:v>Kids</c:v>
                </c:pt>
                <c:pt idx="13">
                  <c:v>Pets</c:v>
                </c:pt>
                <c:pt idx="14">
                  <c:v>Misc</c:v>
                </c:pt>
              </c:strCache>
            </c:strRef>
          </c:cat>
          <c:val>
            <c:numRef>
              <c:f>Dashboard!$B$8:$B$22</c:f>
              <c:numCache>
                <c:formatCode>\$#,##0.00;[RED]"-$"#,##0.00</c:formatCode>
                <c:ptCount val="15"/>
                <c:pt idx="0">
                  <c:v>1200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Dashboard!$A$8:$A$22</c:f>
              <c:strCache>
                <c:ptCount val="15"/>
                <c:pt idx="0">
                  <c:v>Rent / Mortgage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</c:v>
                </c:pt>
                <c:pt idx="4">
                  <c:v>Insurance</c:v>
                </c:pt>
                <c:pt idx="5">
                  <c:v>Debt Payments</c:v>
                </c:pt>
                <c:pt idx="6">
                  <c:v>Subscriptions</c:v>
                </c:pt>
                <c:pt idx="7">
                  <c:v>Dining Out</c:v>
                </c:pt>
                <c:pt idx="8">
                  <c:v>Health</c:v>
                </c:pt>
                <c:pt idx="9">
                  <c:v>Savings</c:v>
                </c:pt>
                <c:pt idx="10">
                  <c:v>Giving</c:v>
                </c:pt>
                <c:pt idx="11">
                  <c:v>Fun</c:v>
                </c:pt>
                <c:pt idx="12">
                  <c:v>Kids</c:v>
                </c:pt>
                <c:pt idx="13">
                  <c:v>Pets</c:v>
                </c:pt>
                <c:pt idx="14">
                  <c:v>Misc</c:v>
                </c:pt>
              </c:strCache>
            </c:strRef>
          </c:cat>
          <c:val>
            <c:numRef>
              <c:f>Dashboard!$C$8:$C$22</c:f>
              <c:numCache>
                <c:formatCode>\$#,##0.00;[RED]"-$"#,##0.00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84.5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43598708"/>
        <c:axId val="59119157"/>
      </c:barChart>
      <c:catAx>
        <c:axId val="435987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19157"/>
        <c:crosses val="autoZero"/>
        <c:auto val="1"/>
        <c:lblAlgn val="ctr"/>
        <c:lblOffset val="100"/>
        <c:noMultiLvlLbl val="0"/>
      </c:catAx>
      <c:valAx>
        <c:axId val="591191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[RED]&quot;-$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987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130680</xdr:rowOff>
    </xdr:from>
    <xdr:to>
      <xdr:col>14</xdr:col>
      <xdr:colOff>515520</xdr:colOff>
      <xdr:row>18</xdr:row>
      <xdr:rowOff>131760</xdr:rowOff>
    </xdr:to>
    <xdr:graphicFrame>
      <xdr:nvGraphicFramePr>
        <xdr:cNvPr id="0" name="Chart 1"/>
        <xdr:cNvGraphicFramePr/>
      </xdr:nvGraphicFramePr>
      <xdr:xfrm>
        <a:off x="746748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4" t="s">
        <v>11</v>
      </c>
    </row>
    <row r="17" customFormat="false" ht="15" hidden="false" customHeight="false" outlineLevel="0" collapsed="false">
      <c r="B17" s="4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18</v>
      </c>
    </row>
    <row r="4" customFormat="false" ht="15" hidden="false" customHeight="false" outlineLevel="0" collapsed="false">
      <c r="A4" s="3" t="s">
        <v>19</v>
      </c>
      <c r="B4" s="5" t="s">
        <v>20</v>
      </c>
      <c r="C4" s="2" t="s">
        <v>21</v>
      </c>
    </row>
    <row r="5" customFormat="false" ht="15" hidden="false" customHeight="false" outlineLevel="0" collapsed="false">
      <c r="A5" s="3" t="s">
        <v>22</v>
      </c>
      <c r="B5" s="6" t="n">
        <v>46269</v>
      </c>
      <c r="C5" s="2" t="s">
        <v>23</v>
      </c>
    </row>
    <row r="6" customFormat="false" ht="15" hidden="false" customHeight="false" outlineLevel="0" collapsed="false">
      <c r="A6" s="3" t="s">
        <v>24</v>
      </c>
      <c r="B6" s="7" t="n">
        <v>2000</v>
      </c>
      <c r="C6" s="2" t="s">
        <v>25</v>
      </c>
    </row>
    <row r="10" customFormat="false" ht="15" hidden="false" customHeight="false" outlineLevel="0" collapsed="false">
      <c r="A10" s="3" t="s">
        <v>26</v>
      </c>
      <c r="C10" s="2" t="s">
        <v>27</v>
      </c>
    </row>
    <row r="11" customFormat="false" ht="15" hidden="false" customHeight="false" outlineLevel="0" collapsed="false">
      <c r="A11" s="5" t="s">
        <v>28</v>
      </c>
    </row>
    <row r="12" customFormat="false" ht="15" hidden="false" customHeight="false" outlineLevel="0" collapsed="false">
      <c r="A12" s="5" t="s">
        <v>29</v>
      </c>
    </row>
    <row r="13" customFormat="false" ht="15" hidden="false" customHeight="false" outlineLevel="0" collapsed="false">
      <c r="A13" s="5" t="s">
        <v>30</v>
      </c>
    </row>
    <row r="14" customFormat="false" ht="15" hidden="false" customHeight="false" outlineLevel="0" collapsed="false">
      <c r="A14" s="5" t="s">
        <v>31</v>
      </c>
    </row>
    <row r="15" customFormat="false" ht="15" hidden="false" customHeight="false" outlineLevel="0" collapsed="false">
      <c r="A15" s="5" t="s">
        <v>32</v>
      </c>
    </row>
    <row r="16" customFormat="false" ht="15" hidden="false" customHeight="false" outlineLevel="0" collapsed="false">
      <c r="A16" s="5" t="s">
        <v>33</v>
      </c>
    </row>
    <row r="17" customFormat="false" ht="15" hidden="false" customHeight="false" outlineLevel="0" collapsed="false">
      <c r="A17" s="5" t="s">
        <v>34</v>
      </c>
    </row>
    <row r="18" customFormat="false" ht="15" hidden="false" customHeight="false" outlineLevel="0" collapsed="false">
      <c r="A18" s="5" t="s">
        <v>35</v>
      </c>
    </row>
    <row r="19" customFormat="false" ht="15" hidden="false" customHeight="false" outlineLevel="0" collapsed="false">
      <c r="A19" s="5" t="s">
        <v>36</v>
      </c>
    </row>
    <row r="20" customFormat="false" ht="15" hidden="false" customHeight="false" outlineLevel="0" collapsed="false">
      <c r="A20" s="5" t="s">
        <v>37</v>
      </c>
    </row>
    <row r="21" customFormat="false" ht="15" hidden="false" customHeight="false" outlineLevel="0" collapsed="false">
      <c r="A21" s="5" t="s">
        <v>38</v>
      </c>
    </row>
    <row r="22" customFormat="false" ht="15" hidden="false" customHeight="false" outlineLevel="0" collapsed="false">
      <c r="A22" s="5" t="s">
        <v>39</v>
      </c>
    </row>
    <row r="23" customFormat="false" ht="15" hidden="false" customHeight="false" outlineLevel="0" collapsed="false">
      <c r="A23" s="5" t="s">
        <v>40</v>
      </c>
    </row>
    <row r="24" customFormat="false" ht="15" hidden="false" customHeight="false" outlineLevel="0" collapsed="false">
      <c r="A24" s="5" t="s">
        <v>41</v>
      </c>
    </row>
    <row r="25" customFormat="false" ht="15" hidden="false" customHeight="false" outlineLevel="0" collapsed="false">
      <c r="A25" s="5" t="s">
        <v>42</v>
      </c>
    </row>
    <row r="26" customFormat="false" ht="15" hidden="false" customHeight="false" outlineLevel="0" collapsed="false">
      <c r="A26" s="5"/>
    </row>
    <row r="27" customFormat="false" ht="15" hidden="false" customHeight="false" outlineLevel="0" collapsed="false">
      <c r="A27" s="5"/>
    </row>
    <row r="28" customFormat="false" ht="15" hidden="false" customHeight="false" outlineLevel="0" collapsed="false">
      <c r="A28" s="5"/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5"/>
    </row>
  </sheetData>
  <dataValidations count="1">
    <dataValidation allowBlank="false" errorStyle="stop" operator="between" showDropDown="false" showErrorMessage="false" showInputMessage="false" sqref="B4" type="list">
      <formula1>"Weekly,Biweekly,Semi-monthly,Monthly"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8" min="6" style="0" width="15"/>
  </cols>
  <sheetData>
    <row r="1" customFormat="false" ht="15" hidden="false" customHeight="fals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</row>
    <row r="2" customFormat="false" ht="15" hidden="false" customHeight="false" outlineLevel="0" collapsed="false">
      <c r="A2" s="9" t="n">
        <v>1</v>
      </c>
      <c r="B2" s="10" t="n">
        <f aca="false">IF(Setup!$B$4="Weekly",Setup!$B$5+(A2-1)*7,IF(Setup!$B$4="Biweekly",Setup!$B$5+(A2-1)*14,IF(Setup!$B$4="Monthly",EDATE(Setup!$B$5,A2-1),IF(MOD(A2,2)=1,EDATE(Setup!$B$5,(A2-1)/2),EDATE(Setup!$B$5,(A2-2)/2)+15))))</f>
        <v>46269</v>
      </c>
      <c r="C2" s="7"/>
      <c r="D2" s="11" t="n">
        <f aca="false">IF(AND(C2="",E2=0,F2=0),0,IF(C2="",Setup!$B$6,C2))</f>
        <v>2000</v>
      </c>
      <c r="E2" s="11" t="n">
        <f aca="false">SUMIFS(Plan!$D:$D,Plan!$A:$A,A2)</f>
        <v>1200</v>
      </c>
      <c r="F2" s="11" t="n">
        <f aca="false">SUMIFS(Spending!$D:$D,Spending!$E:$E,A2)</f>
        <v>84.5</v>
      </c>
      <c r="G2" s="11" t="n">
        <f aca="false">IF(D2=0,0,D2-E2)</f>
        <v>800</v>
      </c>
      <c r="H2" s="11" t="n">
        <f aca="false">IF(D2=0,0,D2-F2)</f>
        <v>1915.5</v>
      </c>
    </row>
    <row r="3" customFormat="false" ht="15" hidden="false" customHeight="false" outlineLevel="0" collapsed="false">
      <c r="A3" s="9" t="n">
        <v>2</v>
      </c>
      <c r="B3" s="10" t="n">
        <f aca="false">IF(Setup!$B$4="Weekly",Setup!$B$5+(A3-1)*7,IF(Setup!$B$4="Biweekly",Setup!$B$5+(A3-1)*14,IF(Setup!$B$4="Monthly",EDATE(Setup!$B$5,A3-1),IF(MOD(A3,2)=1,EDATE(Setup!$B$5,(A3-1)/2),EDATE(Setup!$B$5,(A3-2)/2)+15))))</f>
        <v>46283</v>
      </c>
      <c r="C3" s="7"/>
      <c r="D3" s="11" t="n">
        <f aca="false">IF(AND(C3="",E3=0,F3=0),0,IF(C3="",Setup!$B$6,C3))</f>
        <v>0</v>
      </c>
      <c r="E3" s="11" t="n">
        <f aca="false">SUMIFS(Plan!$D:$D,Plan!$A:$A,A3)</f>
        <v>0</v>
      </c>
      <c r="F3" s="11" t="n">
        <f aca="false">SUMIFS(Spending!$D:$D,Spending!$E:$E,A3)</f>
        <v>0</v>
      </c>
      <c r="G3" s="11" t="n">
        <f aca="false">IF(D3=0,0,D3-E3)</f>
        <v>0</v>
      </c>
      <c r="H3" s="11" t="n">
        <f aca="false">IF(D3=0,0,D3-F3)</f>
        <v>0</v>
      </c>
    </row>
    <row r="4" customFormat="false" ht="15" hidden="false" customHeight="false" outlineLevel="0" collapsed="false">
      <c r="A4" s="9" t="n">
        <v>3</v>
      </c>
      <c r="B4" s="10" t="n">
        <f aca="false">IF(Setup!$B$4="Weekly",Setup!$B$5+(A4-1)*7,IF(Setup!$B$4="Biweekly",Setup!$B$5+(A4-1)*14,IF(Setup!$B$4="Monthly",EDATE(Setup!$B$5,A4-1),IF(MOD(A4,2)=1,EDATE(Setup!$B$5,(A4-1)/2),EDATE(Setup!$B$5,(A4-2)/2)+15))))</f>
        <v>46297</v>
      </c>
      <c r="C4" s="7"/>
      <c r="D4" s="11" t="n">
        <f aca="false">IF(AND(C4="",E4=0,F4=0),0,IF(C4="",Setup!$B$6,C4))</f>
        <v>0</v>
      </c>
      <c r="E4" s="11" t="n">
        <f aca="false">SUMIFS(Plan!$D:$D,Plan!$A:$A,A4)</f>
        <v>0</v>
      </c>
      <c r="F4" s="11" t="n">
        <f aca="false">SUMIFS(Spending!$D:$D,Spending!$E:$E,A4)</f>
        <v>0</v>
      </c>
      <c r="G4" s="11" t="n">
        <f aca="false">IF(D4=0,0,D4-E4)</f>
        <v>0</v>
      </c>
      <c r="H4" s="11" t="n">
        <f aca="false">IF(D4=0,0,D4-F4)</f>
        <v>0</v>
      </c>
    </row>
    <row r="5" customFormat="false" ht="15" hidden="false" customHeight="false" outlineLevel="0" collapsed="false">
      <c r="A5" s="9" t="n">
        <v>4</v>
      </c>
      <c r="B5" s="10" t="n">
        <f aca="false">IF(Setup!$B$4="Weekly",Setup!$B$5+(A5-1)*7,IF(Setup!$B$4="Biweekly",Setup!$B$5+(A5-1)*14,IF(Setup!$B$4="Monthly",EDATE(Setup!$B$5,A5-1),IF(MOD(A5,2)=1,EDATE(Setup!$B$5,(A5-1)/2),EDATE(Setup!$B$5,(A5-2)/2)+15))))</f>
        <v>46311</v>
      </c>
      <c r="C5" s="7"/>
      <c r="D5" s="11" t="n">
        <f aca="false">IF(AND(C5="",E5=0,F5=0),0,IF(C5="",Setup!$B$6,C5))</f>
        <v>0</v>
      </c>
      <c r="E5" s="11" t="n">
        <f aca="false">SUMIFS(Plan!$D:$D,Plan!$A:$A,A5)</f>
        <v>0</v>
      </c>
      <c r="F5" s="11" t="n">
        <f aca="false">SUMIFS(Spending!$D:$D,Spending!$E:$E,A5)</f>
        <v>0</v>
      </c>
      <c r="G5" s="11" t="n">
        <f aca="false">IF(D5=0,0,D5-E5)</f>
        <v>0</v>
      </c>
      <c r="H5" s="11" t="n">
        <f aca="false">IF(D5=0,0,D5-F5)</f>
        <v>0</v>
      </c>
    </row>
    <row r="6" customFormat="false" ht="15" hidden="false" customHeight="false" outlineLevel="0" collapsed="false">
      <c r="A6" s="9" t="n">
        <v>5</v>
      </c>
      <c r="B6" s="10" t="n">
        <f aca="false">IF(Setup!$B$4="Weekly",Setup!$B$5+(A6-1)*7,IF(Setup!$B$4="Biweekly",Setup!$B$5+(A6-1)*14,IF(Setup!$B$4="Monthly",EDATE(Setup!$B$5,A6-1),IF(MOD(A6,2)=1,EDATE(Setup!$B$5,(A6-1)/2),EDATE(Setup!$B$5,(A6-2)/2)+15))))</f>
        <v>46325</v>
      </c>
      <c r="C6" s="7"/>
      <c r="D6" s="11" t="n">
        <f aca="false">IF(AND(C6="",E6=0,F6=0),0,IF(C6="",Setup!$B$6,C6))</f>
        <v>0</v>
      </c>
      <c r="E6" s="11" t="n">
        <f aca="false">SUMIFS(Plan!$D:$D,Plan!$A:$A,A6)</f>
        <v>0</v>
      </c>
      <c r="F6" s="11" t="n">
        <f aca="false">SUMIFS(Spending!$D:$D,Spending!$E:$E,A6)</f>
        <v>0</v>
      </c>
      <c r="G6" s="11" t="n">
        <f aca="false">IF(D6=0,0,D6-E6)</f>
        <v>0</v>
      </c>
      <c r="H6" s="11" t="n">
        <f aca="false">IF(D6=0,0,D6-F6)</f>
        <v>0</v>
      </c>
    </row>
    <row r="7" customFormat="false" ht="15" hidden="false" customHeight="false" outlineLevel="0" collapsed="false">
      <c r="A7" s="9" t="n">
        <v>6</v>
      </c>
      <c r="B7" s="10" t="n">
        <f aca="false">IF(Setup!$B$4="Weekly",Setup!$B$5+(A7-1)*7,IF(Setup!$B$4="Biweekly",Setup!$B$5+(A7-1)*14,IF(Setup!$B$4="Monthly",EDATE(Setup!$B$5,A7-1),IF(MOD(A7,2)=1,EDATE(Setup!$B$5,(A7-1)/2),EDATE(Setup!$B$5,(A7-2)/2)+15))))</f>
        <v>46339</v>
      </c>
      <c r="C7" s="7"/>
      <c r="D7" s="11" t="n">
        <f aca="false">IF(AND(C7="",E7=0,F7=0),0,IF(C7="",Setup!$B$6,C7))</f>
        <v>0</v>
      </c>
      <c r="E7" s="11" t="n">
        <f aca="false">SUMIFS(Plan!$D:$D,Plan!$A:$A,A7)</f>
        <v>0</v>
      </c>
      <c r="F7" s="11" t="n">
        <f aca="false">SUMIFS(Spending!$D:$D,Spending!$E:$E,A7)</f>
        <v>0</v>
      </c>
      <c r="G7" s="11" t="n">
        <f aca="false">IF(D7=0,0,D7-E7)</f>
        <v>0</v>
      </c>
      <c r="H7" s="11" t="n">
        <f aca="false">IF(D7=0,0,D7-F7)</f>
        <v>0</v>
      </c>
    </row>
    <row r="8" customFormat="false" ht="15" hidden="false" customHeight="false" outlineLevel="0" collapsed="false">
      <c r="A8" s="9" t="n">
        <v>7</v>
      </c>
      <c r="B8" s="10" t="n">
        <f aca="false">IF(Setup!$B$4="Weekly",Setup!$B$5+(A8-1)*7,IF(Setup!$B$4="Biweekly",Setup!$B$5+(A8-1)*14,IF(Setup!$B$4="Monthly",EDATE(Setup!$B$5,A8-1),IF(MOD(A8,2)=1,EDATE(Setup!$B$5,(A8-1)/2),EDATE(Setup!$B$5,(A8-2)/2)+15))))</f>
        <v>46353</v>
      </c>
      <c r="C8" s="7"/>
      <c r="D8" s="11" t="n">
        <f aca="false">IF(AND(C8="",E8=0,F8=0),0,IF(C8="",Setup!$B$6,C8))</f>
        <v>0</v>
      </c>
      <c r="E8" s="11" t="n">
        <f aca="false">SUMIFS(Plan!$D:$D,Plan!$A:$A,A8)</f>
        <v>0</v>
      </c>
      <c r="F8" s="11" t="n">
        <f aca="false">SUMIFS(Spending!$D:$D,Spending!$E:$E,A8)</f>
        <v>0</v>
      </c>
      <c r="G8" s="11" t="n">
        <f aca="false">IF(D8=0,0,D8-E8)</f>
        <v>0</v>
      </c>
      <c r="H8" s="11" t="n">
        <f aca="false">IF(D8=0,0,D8-F8)</f>
        <v>0</v>
      </c>
    </row>
    <row r="9" customFormat="false" ht="15" hidden="false" customHeight="false" outlineLevel="0" collapsed="false">
      <c r="A9" s="9" t="n">
        <v>8</v>
      </c>
      <c r="B9" s="10" t="n">
        <f aca="false">IF(Setup!$B$4="Weekly",Setup!$B$5+(A9-1)*7,IF(Setup!$B$4="Biweekly",Setup!$B$5+(A9-1)*14,IF(Setup!$B$4="Monthly",EDATE(Setup!$B$5,A9-1),IF(MOD(A9,2)=1,EDATE(Setup!$B$5,(A9-1)/2),EDATE(Setup!$B$5,(A9-2)/2)+15))))</f>
        <v>46367</v>
      </c>
      <c r="C9" s="7"/>
      <c r="D9" s="11" t="n">
        <f aca="false">IF(AND(C9="",E9=0,F9=0),0,IF(C9="",Setup!$B$6,C9))</f>
        <v>0</v>
      </c>
      <c r="E9" s="11" t="n">
        <f aca="false">SUMIFS(Plan!$D:$D,Plan!$A:$A,A9)</f>
        <v>0</v>
      </c>
      <c r="F9" s="11" t="n">
        <f aca="false">SUMIFS(Spending!$D:$D,Spending!$E:$E,A9)</f>
        <v>0</v>
      </c>
      <c r="G9" s="11" t="n">
        <f aca="false">IF(D9=0,0,D9-E9)</f>
        <v>0</v>
      </c>
      <c r="H9" s="11" t="n">
        <f aca="false">IF(D9=0,0,D9-F9)</f>
        <v>0</v>
      </c>
    </row>
    <row r="10" customFormat="false" ht="15" hidden="false" customHeight="false" outlineLevel="0" collapsed="false">
      <c r="A10" s="9" t="n">
        <v>9</v>
      </c>
      <c r="B10" s="10" t="n">
        <f aca="false">IF(Setup!$B$4="Weekly",Setup!$B$5+(A10-1)*7,IF(Setup!$B$4="Biweekly",Setup!$B$5+(A10-1)*14,IF(Setup!$B$4="Monthly",EDATE(Setup!$B$5,A10-1),IF(MOD(A10,2)=1,EDATE(Setup!$B$5,(A10-1)/2),EDATE(Setup!$B$5,(A10-2)/2)+15))))</f>
        <v>46381</v>
      </c>
      <c r="C10" s="7"/>
      <c r="D10" s="11" t="n">
        <f aca="false">IF(AND(C10="",E10=0,F10=0),0,IF(C10="",Setup!$B$6,C10))</f>
        <v>0</v>
      </c>
      <c r="E10" s="11" t="n">
        <f aca="false">SUMIFS(Plan!$D:$D,Plan!$A:$A,A10)</f>
        <v>0</v>
      </c>
      <c r="F10" s="11" t="n">
        <f aca="false">SUMIFS(Spending!$D:$D,Spending!$E:$E,A10)</f>
        <v>0</v>
      </c>
      <c r="G10" s="11" t="n">
        <f aca="false">IF(D10=0,0,D10-E10)</f>
        <v>0</v>
      </c>
      <c r="H10" s="11" t="n">
        <f aca="false">IF(D10=0,0,D10-F10)</f>
        <v>0</v>
      </c>
    </row>
    <row r="11" customFormat="false" ht="15" hidden="false" customHeight="false" outlineLevel="0" collapsed="false">
      <c r="A11" s="9" t="n">
        <v>10</v>
      </c>
      <c r="B11" s="10" t="n">
        <f aca="false">IF(Setup!$B$4="Weekly",Setup!$B$5+(A11-1)*7,IF(Setup!$B$4="Biweekly",Setup!$B$5+(A11-1)*14,IF(Setup!$B$4="Monthly",EDATE(Setup!$B$5,A11-1),IF(MOD(A11,2)=1,EDATE(Setup!$B$5,(A11-1)/2),EDATE(Setup!$B$5,(A11-2)/2)+15))))</f>
        <v>46395</v>
      </c>
      <c r="C11" s="7"/>
      <c r="D11" s="11" t="n">
        <f aca="false">IF(AND(C11="",E11=0,F11=0),0,IF(C11="",Setup!$B$6,C11))</f>
        <v>0</v>
      </c>
      <c r="E11" s="11" t="n">
        <f aca="false">SUMIFS(Plan!$D:$D,Plan!$A:$A,A11)</f>
        <v>0</v>
      </c>
      <c r="F11" s="11" t="n">
        <f aca="false">SUMIFS(Spending!$D:$D,Spending!$E:$E,A11)</f>
        <v>0</v>
      </c>
      <c r="G11" s="11" t="n">
        <f aca="false">IF(D11=0,0,D11-E11)</f>
        <v>0</v>
      </c>
      <c r="H11" s="11" t="n">
        <f aca="false">IF(D11=0,0,D11-F11)</f>
        <v>0</v>
      </c>
    </row>
    <row r="12" customFormat="false" ht="15" hidden="false" customHeight="false" outlineLevel="0" collapsed="false">
      <c r="A12" s="9" t="n">
        <v>11</v>
      </c>
      <c r="B12" s="10" t="n">
        <f aca="false">IF(Setup!$B$4="Weekly",Setup!$B$5+(A12-1)*7,IF(Setup!$B$4="Biweekly",Setup!$B$5+(A12-1)*14,IF(Setup!$B$4="Monthly",EDATE(Setup!$B$5,A12-1),IF(MOD(A12,2)=1,EDATE(Setup!$B$5,(A12-1)/2),EDATE(Setup!$B$5,(A12-2)/2)+15))))</f>
        <v>46409</v>
      </c>
      <c r="C12" s="7"/>
      <c r="D12" s="11" t="n">
        <f aca="false">IF(AND(C12="",E12=0,F12=0),0,IF(C12="",Setup!$B$6,C12))</f>
        <v>0</v>
      </c>
      <c r="E12" s="11" t="n">
        <f aca="false">SUMIFS(Plan!$D:$D,Plan!$A:$A,A12)</f>
        <v>0</v>
      </c>
      <c r="F12" s="11" t="n">
        <f aca="false">SUMIFS(Spending!$D:$D,Spending!$E:$E,A12)</f>
        <v>0</v>
      </c>
      <c r="G12" s="11" t="n">
        <f aca="false">IF(D12=0,0,D12-E12)</f>
        <v>0</v>
      </c>
      <c r="H12" s="11" t="n">
        <f aca="false">IF(D12=0,0,D12-F12)</f>
        <v>0</v>
      </c>
    </row>
    <row r="13" customFormat="false" ht="15" hidden="false" customHeight="false" outlineLevel="0" collapsed="false">
      <c r="A13" s="9" t="n">
        <v>12</v>
      </c>
      <c r="B13" s="10" t="n">
        <f aca="false">IF(Setup!$B$4="Weekly",Setup!$B$5+(A13-1)*7,IF(Setup!$B$4="Biweekly",Setup!$B$5+(A13-1)*14,IF(Setup!$B$4="Monthly",EDATE(Setup!$B$5,A13-1),IF(MOD(A13,2)=1,EDATE(Setup!$B$5,(A13-1)/2),EDATE(Setup!$B$5,(A13-2)/2)+15))))</f>
        <v>46423</v>
      </c>
      <c r="C13" s="7"/>
      <c r="D13" s="11" t="n">
        <f aca="false">IF(AND(C13="",E13=0,F13=0),0,IF(C13="",Setup!$B$6,C13))</f>
        <v>0</v>
      </c>
      <c r="E13" s="11" t="n">
        <f aca="false">SUMIFS(Plan!$D:$D,Plan!$A:$A,A13)</f>
        <v>0</v>
      </c>
      <c r="F13" s="11" t="n">
        <f aca="false">SUMIFS(Spending!$D:$D,Spending!$E:$E,A13)</f>
        <v>0</v>
      </c>
      <c r="G13" s="11" t="n">
        <f aca="false">IF(D13=0,0,D13-E13)</f>
        <v>0</v>
      </c>
      <c r="H13" s="11" t="n">
        <f aca="false">IF(D13=0,0,D13-F13)</f>
        <v>0</v>
      </c>
    </row>
    <row r="14" customFormat="false" ht="15" hidden="false" customHeight="false" outlineLevel="0" collapsed="false">
      <c r="A14" s="9" t="n">
        <v>13</v>
      </c>
      <c r="B14" s="10" t="n">
        <f aca="false">IF(Setup!$B$4="Weekly",Setup!$B$5+(A14-1)*7,IF(Setup!$B$4="Biweekly",Setup!$B$5+(A14-1)*14,IF(Setup!$B$4="Monthly",EDATE(Setup!$B$5,A14-1),IF(MOD(A14,2)=1,EDATE(Setup!$B$5,(A14-1)/2),EDATE(Setup!$B$5,(A14-2)/2)+15))))</f>
        <v>46437</v>
      </c>
      <c r="C14" s="7"/>
      <c r="D14" s="11" t="n">
        <f aca="false">IF(AND(C14="",E14=0,F14=0),0,IF(C14="",Setup!$B$6,C14))</f>
        <v>0</v>
      </c>
      <c r="E14" s="11" t="n">
        <f aca="false">SUMIFS(Plan!$D:$D,Plan!$A:$A,A14)</f>
        <v>0</v>
      </c>
      <c r="F14" s="11" t="n">
        <f aca="false">SUMIFS(Spending!$D:$D,Spending!$E:$E,A14)</f>
        <v>0</v>
      </c>
      <c r="G14" s="11" t="n">
        <f aca="false">IF(D14=0,0,D14-E14)</f>
        <v>0</v>
      </c>
      <c r="H14" s="11" t="n">
        <f aca="false">IF(D14=0,0,D14-F14)</f>
        <v>0</v>
      </c>
    </row>
    <row r="15" customFormat="false" ht="15" hidden="false" customHeight="false" outlineLevel="0" collapsed="false">
      <c r="A15" s="9" t="n">
        <v>14</v>
      </c>
      <c r="B15" s="10" t="n">
        <f aca="false">IF(Setup!$B$4="Weekly",Setup!$B$5+(A15-1)*7,IF(Setup!$B$4="Biweekly",Setup!$B$5+(A15-1)*14,IF(Setup!$B$4="Monthly",EDATE(Setup!$B$5,A15-1),IF(MOD(A15,2)=1,EDATE(Setup!$B$5,(A15-1)/2),EDATE(Setup!$B$5,(A15-2)/2)+15))))</f>
        <v>46451</v>
      </c>
      <c r="C15" s="7"/>
      <c r="D15" s="11" t="n">
        <f aca="false">IF(AND(C15="",E15=0,F15=0),0,IF(C15="",Setup!$B$6,C15))</f>
        <v>0</v>
      </c>
      <c r="E15" s="11" t="n">
        <f aca="false">SUMIFS(Plan!$D:$D,Plan!$A:$A,A15)</f>
        <v>0</v>
      </c>
      <c r="F15" s="11" t="n">
        <f aca="false">SUMIFS(Spending!$D:$D,Spending!$E:$E,A15)</f>
        <v>0</v>
      </c>
      <c r="G15" s="11" t="n">
        <f aca="false">IF(D15=0,0,D15-E15)</f>
        <v>0</v>
      </c>
      <c r="H15" s="11" t="n">
        <f aca="false">IF(D15=0,0,D15-F15)</f>
        <v>0</v>
      </c>
    </row>
    <row r="16" customFormat="false" ht="15" hidden="false" customHeight="false" outlineLevel="0" collapsed="false">
      <c r="A16" s="9" t="n">
        <v>15</v>
      </c>
      <c r="B16" s="10" t="n">
        <f aca="false">IF(Setup!$B$4="Weekly",Setup!$B$5+(A16-1)*7,IF(Setup!$B$4="Biweekly",Setup!$B$5+(A16-1)*14,IF(Setup!$B$4="Monthly",EDATE(Setup!$B$5,A16-1),IF(MOD(A16,2)=1,EDATE(Setup!$B$5,(A16-1)/2),EDATE(Setup!$B$5,(A16-2)/2)+15))))</f>
        <v>46465</v>
      </c>
      <c r="C16" s="7"/>
      <c r="D16" s="11" t="n">
        <f aca="false">IF(AND(C16="",E16=0,F16=0),0,IF(C16="",Setup!$B$6,C16))</f>
        <v>0</v>
      </c>
      <c r="E16" s="11" t="n">
        <f aca="false">SUMIFS(Plan!$D:$D,Plan!$A:$A,A16)</f>
        <v>0</v>
      </c>
      <c r="F16" s="11" t="n">
        <f aca="false">SUMIFS(Spending!$D:$D,Spending!$E:$E,A16)</f>
        <v>0</v>
      </c>
      <c r="G16" s="11" t="n">
        <f aca="false">IF(D16=0,0,D16-E16)</f>
        <v>0</v>
      </c>
      <c r="H16" s="11" t="n">
        <f aca="false">IF(D16=0,0,D16-F16)</f>
        <v>0</v>
      </c>
    </row>
    <row r="17" customFormat="false" ht="15" hidden="false" customHeight="false" outlineLevel="0" collapsed="false">
      <c r="A17" s="9" t="n">
        <v>16</v>
      </c>
      <c r="B17" s="10" t="n">
        <f aca="false">IF(Setup!$B$4="Weekly",Setup!$B$5+(A17-1)*7,IF(Setup!$B$4="Biweekly",Setup!$B$5+(A17-1)*14,IF(Setup!$B$4="Monthly",EDATE(Setup!$B$5,A17-1),IF(MOD(A17,2)=1,EDATE(Setup!$B$5,(A17-1)/2),EDATE(Setup!$B$5,(A17-2)/2)+15))))</f>
        <v>46479</v>
      </c>
      <c r="C17" s="7"/>
      <c r="D17" s="11" t="n">
        <f aca="false">IF(AND(C17="",E17=0,F17=0),0,IF(C17="",Setup!$B$6,C17))</f>
        <v>0</v>
      </c>
      <c r="E17" s="11" t="n">
        <f aca="false">SUMIFS(Plan!$D:$D,Plan!$A:$A,A17)</f>
        <v>0</v>
      </c>
      <c r="F17" s="11" t="n">
        <f aca="false">SUMIFS(Spending!$D:$D,Spending!$E:$E,A17)</f>
        <v>0</v>
      </c>
      <c r="G17" s="11" t="n">
        <f aca="false">IF(D17=0,0,D17-E17)</f>
        <v>0</v>
      </c>
      <c r="H17" s="11" t="n">
        <f aca="false">IF(D17=0,0,D17-F17)</f>
        <v>0</v>
      </c>
    </row>
    <row r="18" customFormat="false" ht="15" hidden="false" customHeight="false" outlineLevel="0" collapsed="false">
      <c r="A18" s="9" t="n">
        <v>17</v>
      </c>
      <c r="B18" s="10" t="n">
        <f aca="false">IF(Setup!$B$4="Weekly",Setup!$B$5+(A18-1)*7,IF(Setup!$B$4="Biweekly",Setup!$B$5+(A18-1)*14,IF(Setup!$B$4="Monthly",EDATE(Setup!$B$5,A18-1),IF(MOD(A18,2)=1,EDATE(Setup!$B$5,(A18-1)/2),EDATE(Setup!$B$5,(A18-2)/2)+15))))</f>
        <v>46493</v>
      </c>
      <c r="C18" s="7"/>
      <c r="D18" s="11" t="n">
        <f aca="false">IF(AND(C18="",E18=0,F18=0),0,IF(C18="",Setup!$B$6,C18))</f>
        <v>0</v>
      </c>
      <c r="E18" s="11" t="n">
        <f aca="false">SUMIFS(Plan!$D:$D,Plan!$A:$A,A18)</f>
        <v>0</v>
      </c>
      <c r="F18" s="11" t="n">
        <f aca="false">SUMIFS(Spending!$D:$D,Spending!$E:$E,A18)</f>
        <v>0</v>
      </c>
      <c r="G18" s="11" t="n">
        <f aca="false">IF(D18=0,0,D18-E18)</f>
        <v>0</v>
      </c>
      <c r="H18" s="11" t="n">
        <f aca="false">IF(D18=0,0,D18-F18)</f>
        <v>0</v>
      </c>
    </row>
    <row r="19" customFormat="false" ht="15" hidden="false" customHeight="false" outlineLevel="0" collapsed="false">
      <c r="A19" s="9" t="n">
        <v>18</v>
      </c>
      <c r="B19" s="10" t="n">
        <f aca="false">IF(Setup!$B$4="Weekly",Setup!$B$5+(A19-1)*7,IF(Setup!$B$4="Biweekly",Setup!$B$5+(A19-1)*14,IF(Setup!$B$4="Monthly",EDATE(Setup!$B$5,A19-1),IF(MOD(A19,2)=1,EDATE(Setup!$B$5,(A19-1)/2),EDATE(Setup!$B$5,(A19-2)/2)+15))))</f>
        <v>46507</v>
      </c>
      <c r="C19" s="7"/>
      <c r="D19" s="11" t="n">
        <f aca="false">IF(AND(C19="",E19=0,F19=0),0,IF(C19="",Setup!$B$6,C19))</f>
        <v>0</v>
      </c>
      <c r="E19" s="11" t="n">
        <f aca="false">SUMIFS(Plan!$D:$D,Plan!$A:$A,A19)</f>
        <v>0</v>
      </c>
      <c r="F19" s="11" t="n">
        <f aca="false">SUMIFS(Spending!$D:$D,Spending!$E:$E,A19)</f>
        <v>0</v>
      </c>
      <c r="G19" s="11" t="n">
        <f aca="false">IF(D19=0,0,D19-E19)</f>
        <v>0</v>
      </c>
      <c r="H19" s="11" t="n">
        <f aca="false">IF(D19=0,0,D19-F19)</f>
        <v>0</v>
      </c>
    </row>
    <row r="20" customFormat="false" ht="15" hidden="false" customHeight="false" outlineLevel="0" collapsed="false">
      <c r="A20" s="9" t="n">
        <v>19</v>
      </c>
      <c r="B20" s="10" t="n">
        <f aca="false">IF(Setup!$B$4="Weekly",Setup!$B$5+(A20-1)*7,IF(Setup!$B$4="Biweekly",Setup!$B$5+(A20-1)*14,IF(Setup!$B$4="Monthly",EDATE(Setup!$B$5,A20-1),IF(MOD(A20,2)=1,EDATE(Setup!$B$5,(A20-1)/2),EDATE(Setup!$B$5,(A20-2)/2)+15))))</f>
        <v>46521</v>
      </c>
      <c r="C20" s="7"/>
      <c r="D20" s="11" t="n">
        <f aca="false">IF(AND(C20="",E20=0,F20=0),0,IF(C20="",Setup!$B$6,C20))</f>
        <v>0</v>
      </c>
      <c r="E20" s="11" t="n">
        <f aca="false">SUMIFS(Plan!$D:$D,Plan!$A:$A,A20)</f>
        <v>0</v>
      </c>
      <c r="F20" s="11" t="n">
        <f aca="false">SUMIFS(Spending!$D:$D,Spending!$E:$E,A20)</f>
        <v>0</v>
      </c>
      <c r="G20" s="11" t="n">
        <f aca="false">IF(D20=0,0,D20-E20)</f>
        <v>0</v>
      </c>
      <c r="H20" s="11" t="n">
        <f aca="false">IF(D20=0,0,D20-F20)</f>
        <v>0</v>
      </c>
    </row>
    <row r="21" customFormat="false" ht="15" hidden="false" customHeight="false" outlineLevel="0" collapsed="false">
      <c r="A21" s="9" t="n">
        <v>20</v>
      </c>
      <c r="B21" s="10" t="n">
        <f aca="false">IF(Setup!$B$4="Weekly",Setup!$B$5+(A21-1)*7,IF(Setup!$B$4="Biweekly",Setup!$B$5+(A21-1)*14,IF(Setup!$B$4="Monthly",EDATE(Setup!$B$5,A21-1),IF(MOD(A21,2)=1,EDATE(Setup!$B$5,(A21-1)/2),EDATE(Setup!$B$5,(A21-2)/2)+15))))</f>
        <v>46535</v>
      </c>
      <c r="C21" s="7"/>
      <c r="D21" s="11" t="n">
        <f aca="false">IF(AND(C21="",E21=0,F21=0),0,IF(C21="",Setup!$B$6,C21))</f>
        <v>0</v>
      </c>
      <c r="E21" s="11" t="n">
        <f aca="false">SUMIFS(Plan!$D:$D,Plan!$A:$A,A21)</f>
        <v>0</v>
      </c>
      <c r="F21" s="11" t="n">
        <f aca="false">SUMIFS(Spending!$D:$D,Spending!$E:$E,A21)</f>
        <v>0</v>
      </c>
      <c r="G21" s="11" t="n">
        <f aca="false">IF(D21=0,0,D21-E21)</f>
        <v>0</v>
      </c>
      <c r="H21" s="11" t="n">
        <f aca="false">IF(D21=0,0,D21-F21)</f>
        <v>0</v>
      </c>
    </row>
    <row r="22" customFormat="false" ht="15" hidden="false" customHeight="false" outlineLevel="0" collapsed="false">
      <c r="A22" s="9" t="n">
        <v>21</v>
      </c>
      <c r="B22" s="10" t="n">
        <f aca="false">IF(Setup!$B$4="Weekly",Setup!$B$5+(A22-1)*7,IF(Setup!$B$4="Biweekly",Setup!$B$5+(A22-1)*14,IF(Setup!$B$4="Monthly",EDATE(Setup!$B$5,A22-1),IF(MOD(A22,2)=1,EDATE(Setup!$B$5,(A22-1)/2),EDATE(Setup!$B$5,(A22-2)/2)+15))))</f>
        <v>46549</v>
      </c>
      <c r="C22" s="7"/>
      <c r="D22" s="11" t="n">
        <f aca="false">IF(AND(C22="",E22=0,F22=0),0,IF(C22="",Setup!$B$6,C22))</f>
        <v>0</v>
      </c>
      <c r="E22" s="11" t="n">
        <f aca="false">SUMIFS(Plan!$D:$D,Plan!$A:$A,A22)</f>
        <v>0</v>
      </c>
      <c r="F22" s="11" t="n">
        <f aca="false">SUMIFS(Spending!$D:$D,Spending!$E:$E,A22)</f>
        <v>0</v>
      </c>
      <c r="G22" s="11" t="n">
        <f aca="false">IF(D22=0,0,D22-E22)</f>
        <v>0</v>
      </c>
      <c r="H22" s="11" t="n">
        <f aca="false">IF(D22=0,0,D22-F22)</f>
        <v>0</v>
      </c>
    </row>
    <row r="23" customFormat="false" ht="15" hidden="false" customHeight="false" outlineLevel="0" collapsed="false">
      <c r="A23" s="9" t="n">
        <v>22</v>
      </c>
      <c r="B23" s="10" t="n">
        <f aca="false">IF(Setup!$B$4="Weekly",Setup!$B$5+(A23-1)*7,IF(Setup!$B$4="Biweekly",Setup!$B$5+(A23-1)*14,IF(Setup!$B$4="Monthly",EDATE(Setup!$B$5,A23-1),IF(MOD(A23,2)=1,EDATE(Setup!$B$5,(A23-1)/2),EDATE(Setup!$B$5,(A23-2)/2)+15))))</f>
        <v>46563</v>
      </c>
      <c r="C23" s="7"/>
      <c r="D23" s="11" t="n">
        <f aca="false">IF(AND(C23="",E23=0,F23=0),0,IF(C23="",Setup!$B$6,C23))</f>
        <v>0</v>
      </c>
      <c r="E23" s="11" t="n">
        <f aca="false">SUMIFS(Plan!$D:$D,Plan!$A:$A,A23)</f>
        <v>0</v>
      </c>
      <c r="F23" s="11" t="n">
        <f aca="false">SUMIFS(Spending!$D:$D,Spending!$E:$E,A23)</f>
        <v>0</v>
      </c>
      <c r="G23" s="11" t="n">
        <f aca="false">IF(D23=0,0,D23-E23)</f>
        <v>0</v>
      </c>
      <c r="H23" s="11" t="n">
        <f aca="false">IF(D23=0,0,D23-F23)</f>
        <v>0</v>
      </c>
    </row>
    <row r="24" customFormat="false" ht="15" hidden="false" customHeight="false" outlineLevel="0" collapsed="false">
      <c r="A24" s="9" t="n">
        <v>23</v>
      </c>
      <c r="B24" s="10" t="n">
        <f aca="false">IF(Setup!$B$4="Weekly",Setup!$B$5+(A24-1)*7,IF(Setup!$B$4="Biweekly",Setup!$B$5+(A24-1)*14,IF(Setup!$B$4="Monthly",EDATE(Setup!$B$5,A24-1),IF(MOD(A24,2)=1,EDATE(Setup!$B$5,(A24-1)/2),EDATE(Setup!$B$5,(A24-2)/2)+15))))</f>
        <v>46577</v>
      </c>
      <c r="C24" s="7"/>
      <c r="D24" s="11" t="n">
        <f aca="false">IF(AND(C24="",E24=0,F24=0),0,IF(C24="",Setup!$B$6,C24))</f>
        <v>0</v>
      </c>
      <c r="E24" s="11" t="n">
        <f aca="false">SUMIFS(Plan!$D:$D,Plan!$A:$A,A24)</f>
        <v>0</v>
      </c>
      <c r="F24" s="11" t="n">
        <f aca="false">SUMIFS(Spending!$D:$D,Spending!$E:$E,A24)</f>
        <v>0</v>
      </c>
      <c r="G24" s="11" t="n">
        <f aca="false">IF(D24=0,0,D24-E24)</f>
        <v>0</v>
      </c>
      <c r="H24" s="11" t="n">
        <f aca="false">IF(D24=0,0,D24-F24)</f>
        <v>0</v>
      </c>
    </row>
    <row r="25" customFormat="false" ht="15" hidden="false" customHeight="false" outlineLevel="0" collapsed="false">
      <c r="A25" s="9" t="n">
        <v>24</v>
      </c>
      <c r="B25" s="10" t="n">
        <f aca="false">IF(Setup!$B$4="Weekly",Setup!$B$5+(A25-1)*7,IF(Setup!$B$4="Biweekly",Setup!$B$5+(A25-1)*14,IF(Setup!$B$4="Monthly",EDATE(Setup!$B$5,A25-1),IF(MOD(A25,2)=1,EDATE(Setup!$B$5,(A25-1)/2),EDATE(Setup!$B$5,(A25-2)/2)+15))))</f>
        <v>46591</v>
      </c>
      <c r="C25" s="7"/>
      <c r="D25" s="11" t="n">
        <f aca="false">IF(AND(C25="",E25=0,F25=0),0,IF(C25="",Setup!$B$6,C25))</f>
        <v>0</v>
      </c>
      <c r="E25" s="11" t="n">
        <f aca="false">SUMIFS(Plan!$D:$D,Plan!$A:$A,A25)</f>
        <v>0</v>
      </c>
      <c r="F25" s="11" t="n">
        <f aca="false">SUMIFS(Spending!$D:$D,Spending!$E:$E,A25)</f>
        <v>0</v>
      </c>
      <c r="G25" s="11" t="n">
        <f aca="false">IF(D25=0,0,D25-E25)</f>
        <v>0</v>
      </c>
      <c r="H25" s="11" t="n">
        <f aca="false">IF(D25=0,0,D25-F25)</f>
        <v>0</v>
      </c>
    </row>
    <row r="26" customFormat="false" ht="15" hidden="false" customHeight="false" outlineLevel="0" collapsed="false">
      <c r="A26" s="9" t="n">
        <v>25</v>
      </c>
      <c r="B26" s="10" t="n">
        <f aca="false">IF(Setup!$B$4="Weekly",Setup!$B$5+(A26-1)*7,IF(Setup!$B$4="Biweekly",Setup!$B$5+(A26-1)*14,IF(Setup!$B$4="Monthly",EDATE(Setup!$B$5,A26-1),IF(MOD(A26,2)=1,EDATE(Setup!$B$5,(A26-1)/2),EDATE(Setup!$B$5,(A26-2)/2)+15))))</f>
        <v>46605</v>
      </c>
      <c r="C26" s="7"/>
      <c r="D26" s="11" t="n">
        <f aca="false">IF(AND(C26="",E26=0,F26=0),0,IF(C26="",Setup!$B$6,C26))</f>
        <v>0</v>
      </c>
      <c r="E26" s="11" t="n">
        <f aca="false">SUMIFS(Plan!$D:$D,Plan!$A:$A,A26)</f>
        <v>0</v>
      </c>
      <c r="F26" s="11" t="n">
        <f aca="false">SUMIFS(Spending!$D:$D,Spending!$E:$E,A26)</f>
        <v>0</v>
      </c>
      <c r="G26" s="11" t="n">
        <f aca="false">IF(D26=0,0,D26-E26)</f>
        <v>0</v>
      </c>
      <c r="H26" s="11" t="n">
        <f aca="false">IF(D26=0,0,D26-F26)</f>
        <v>0</v>
      </c>
    </row>
    <row r="27" customFormat="false" ht="15" hidden="false" customHeight="false" outlineLevel="0" collapsed="false">
      <c r="A27" s="9" t="n">
        <v>26</v>
      </c>
      <c r="B27" s="10" t="n">
        <f aca="false">IF(Setup!$B$4="Weekly",Setup!$B$5+(A27-1)*7,IF(Setup!$B$4="Biweekly",Setup!$B$5+(A27-1)*14,IF(Setup!$B$4="Monthly",EDATE(Setup!$B$5,A27-1),IF(MOD(A27,2)=1,EDATE(Setup!$B$5,(A27-1)/2),EDATE(Setup!$B$5,(A27-2)/2)+15))))</f>
        <v>46619</v>
      </c>
      <c r="C27" s="7"/>
      <c r="D27" s="11" t="n">
        <f aca="false">IF(AND(C27="",E27=0,F27=0),0,IF(C27="",Setup!$B$6,C27))</f>
        <v>0</v>
      </c>
      <c r="E27" s="11" t="n">
        <f aca="false">SUMIFS(Plan!$D:$D,Plan!$A:$A,A27)</f>
        <v>0</v>
      </c>
      <c r="F27" s="11" t="n">
        <f aca="false">SUMIFS(Spending!$D:$D,Spending!$E:$E,A27)</f>
        <v>0</v>
      </c>
      <c r="G27" s="11" t="n">
        <f aca="false">IF(D27=0,0,D27-E27)</f>
        <v>0</v>
      </c>
      <c r="H27" s="11" t="n">
        <f aca="false">IF(D27=0,0,D27-F27)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8" t="s">
        <v>51</v>
      </c>
      <c r="B1" s="8" t="s">
        <v>52</v>
      </c>
      <c r="C1" s="8" t="s">
        <v>53</v>
      </c>
      <c r="D1" s="8" t="s">
        <v>54</v>
      </c>
      <c r="E1" s="8" t="s">
        <v>44</v>
      </c>
    </row>
    <row r="2" customFormat="false" ht="15" hidden="false" customHeight="false" outlineLevel="0" collapsed="false">
      <c r="A2" s="12" t="n">
        <v>1</v>
      </c>
      <c r="B2" s="13" t="s">
        <v>55</v>
      </c>
      <c r="C2" s="13" t="s">
        <v>28</v>
      </c>
      <c r="D2" s="14" t="n">
        <v>1200</v>
      </c>
      <c r="E2" s="15" t="n">
        <f aca="false">IF(A2="","",IFERROR(INDEX(Paychecks!$B$2:$B$27,MATCH(A2,Paychecks!$A$2:$A$27,0)),""))</f>
        <v>46269</v>
      </c>
    </row>
    <row r="3" customFormat="false" ht="15" hidden="false" customHeight="false" outlineLevel="0" collapsed="false">
      <c r="A3" s="16"/>
      <c r="B3" s="5"/>
      <c r="C3" s="5"/>
      <c r="D3" s="7"/>
      <c r="E3" s="15" t="str">
        <f aca="false">IF(A3="","",IFERROR(INDEX(Paychecks!$B$2:$B$27,MATCH(A3,Paychecks!$A$2:$A$27,0)),""))</f>
        <v/>
      </c>
    </row>
    <row r="4" customFormat="false" ht="15" hidden="false" customHeight="false" outlineLevel="0" collapsed="false">
      <c r="A4" s="16"/>
      <c r="B4" s="5"/>
      <c r="C4" s="5"/>
      <c r="D4" s="7"/>
      <c r="E4" s="15" t="str">
        <f aca="false">IF(A4="","",IFERROR(INDEX(Paychecks!$B$2:$B$27,MATCH(A4,Paychecks!$A$2:$A$27,0)),""))</f>
        <v/>
      </c>
    </row>
    <row r="5" customFormat="false" ht="15" hidden="false" customHeight="false" outlineLevel="0" collapsed="false">
      <c r="A5" s="16"/>
      <c r="B5" s="5"/>
      <c r="C5" s="5"/>
      <c r="D5" s="7"/>
      <c r="E5" s="15" t="str">
        <f aca="false">IF(A5="","",IFERROR(INDEX(Paychecks!$B$2:$B$27,MATCH(A5,Paychecks!$A$2:$A$27,0)),""))</f>
        <v/>
      </c>
    </row>
    <row r="6" customFormat="false" ht="15" hidden="false" customHeight="false" outlineLevel="0" collapsed="false">
      <c r="A6" s="16"/>
      <c r="B6" s="5"/>
      <c r="C6" s="5"/>
      <c r="D6" s="7"/>
      <c r="E6" s="15" t="str">
        <f aca="false">IF(A6="","",IFERROR(INDEX(Paychecks!$B$2:$B$27,MATCH(A6,Paychecks!$A$2:$A$27,0)),""))</f>
        <v/>
      </c>
    </row>
    <row r="7" customFormat="false" ht="15" hidden="false" customHeight="false" outlineLevel="0" collapsed="false">
      <c r="A7" s="16"/>
      <c r="B7" s="5"/>
      <c r="C7" s="5"/>
      <c r="D7" s="7"/>
      <c r="E7" s="15" t="str">
        <f aca="false">IF(A7="","",IFERROR(INDEX(Paychecks!$B$2:$B$27,MATCH(A7,Paychecks!$A$2:$A$27,0)),""))</f>
        <v/>
      </c>
    </row>
    <row r="8" customFormat="false" ht="15" hidden="false" customHeight="false" outlineLevel="0" collapsed="false">
      <c r="A8" s="16"/>
      <c r="B8" s="5"/>
      <c r="C8" s="5"/>
      <c r="D8" s="7"/>
      <c r="E8" s="15" t="str">
        <f aca="false">IF(A8="","",IFERROR(INDEX(Paychecks!$B$2:$B$27,MATCH(A8,Paychecks!$A$2:$A$27,0)),""))</f>
        <v/>
      </c>
    </row>
    <row r="9" customFormat="false" ht="15" hidden="false" customHeight="false" outlineLevel="0" collapsed="false">
      <c r="A9" s="16"/>
      <c r="B9" s="5"/>
      <c r="C9" s="5"/>
      <c r="D9" s="7"/>
      <c r="E9" s="15" t="str">
        <f aca="false">IF(A9="","",IFERROR(INDEX(Paychecks!$B$2:$B$27,MATCH(A9,Paychecks!$A$2:$A$27,0)),""))</f>
        <v/>
      </c>
    </row>
    <row r="10" customFormat="false" ht="15" hidden="false" customHeight="false" outlineLevel="0" collapsed="false">
      <c r="A10" s="16"/>
      <c r="B10" s="5"/>
      <c r="C10" s="5"/>
      <c r="D10" s="7"/>
      <c r="E10" s="15" t="str">
        <f aca="false">IF(A10="","",IFERROR(INDEX(Paychecks!$B$2:$B$27,MATCH(A10,Paychecks!$A$2:$A$27,0)),""))</f>
        <v/>
      </c>
    </row>
    <row r="11" customFormat="false" ht="15" hidden="false" customHeight="false" outlineLevel="0" collapsed="false">
      <c r="A11" s="16"/>
      <c r="B11" s="5"/>
      <c r="C11" s="5"/>
      <c r="D11" s="7"/>
      <c r="E11" s="15" t="str">
        <f aca="false">IF(A11="","",IFERROR(INDEX(Paychecks!$B$2:$B$27,MATCH(A11,Paychecks!$A$2:$A$27,0)),""))</f>
        <v/>
      </c>
    </row>
    <row r="12" customFormat="false" ht="15" hidden="false" customHeight="false" outlineLevel="0" collapsed="false">
      <c r="A12" s="16"/>
      <c r="B12" s="5"/>
      <c r="C12" s="5"/>
      <c r="D12" s="7"/>
      <c r="E12" s="15" t="str">
        <f aca="false">IF(A12="","",IFERROR(INDEX(Paychecks!$B$2:$B$27,MATCH(A12,Paychecks!$A$2:$A$27,0)),""))</f>
        <v/>
      </c>
    </row>
    <row r="13" customFormat="false" ht="15" hidden="false" customHeight="false" outlineLevel="0" collapsed="false">
      <c r="A13" s="16"/>
      <c r="B13" s="5"/>
      <c r="C13" s="5"/>
      <c r="D13" s="7"/>
      <c r="E13" s="15" t="str">
        <f aca="false">IF(A13="","",IFERROR(INDEX(Paychecks!$B$2:$B$27,MATCH(A13,Paychecks!$A$2:$A$27,0)),""))</f>
        <v/>
      </c>
    </row>
    <row r="14" customFormat="false" ht="15" hidden="false" customHeight="false" outlineLevel="0" collapsed="false">
      <c r="A14" s="16"/>
      <c r="B14" s="5"/>
      <c r="C14" s="5"/>
      <c r="D14" s="7"/>
      <c r="E14" s="15" t="str">
        <f aca="false">IF(A14="","",IFERROR(INDEX(Paychecks!$B$2:$B$27,MATCH(A14,Paychecks!$A$2:$A$27,0)),""))</f>
        <v/>
      </c>
    </row>
    <row r="15" customFormat="false" ht="15" hidden="false" customHeight="false" outlineLevel="0" collapsed="false">
      <c r="A15" s="16"/>
      <c r="B15" s="5"/>
      <c r="C15" s="5"/>
      <c r="D15" s="7"/>
      <c r="E15" s="15" t="str">
        <f aca="false">IF(A15="","",IFERROR(INDEX(Paychecks!$B$2:$B$27,MATCH(A15,Paychecks!$A$2:$A$27,0)),""))</f>
        <v/>
      </c>
    </row>
    <row r="16" customFormat="false" ht="15" hidden="false" customHeight="false" outlineLevel="0" collapsed="false">
      <c r="A16" s="16"/>
      <c r="B16" s="5"/>
      <c r="C16" s="5"/>
      <c r="D16" s="7"/>
      <c r="E16" s="15" t="str">
        <f aca="false">IF(A16="","",IFERROR(INDEX(Paychecks!$B$2:$B$27,MATCH(A16,Paychecks!$A$2:$A$27,0)),""))</f>
        <v/>
      </c>
    </row>
    <row r="17" customFormat="false" ht="15" hidden="false" customHeight="false" outlineLevel="0" collapsed="false">
      <c r="A17" s="16"/>
      <c r="B17" s="5"/>
      <c r="C17" s="5"/>
      <c r="D17" s="7"/>
      <c r="E17" s="15" t="str">
        <f aca="false">IF(A17="","",IFERROR(INDEX(Paychecks!$B$2:$B$27,MATCH(A17,Paychecks!$A$2:$A$27,0)),""))</f>
        <v/>
      </c>
    </row>
    <row r="18" customFormat="false" ht="15" hidden="false" customHeight="false" outlineLevel="0" collapsed="false">
      <c r="A18" s="16"/>
      <c r="B18" s="5"/>
      <c r="C18" s="5"/>
      <c r="D18" s="7"/>
      <c r="E18" s="15" t="str">
        <f aca="false">IF(A18="","",IFERROR(INDEX(Paychecks!$B$2:$B$27,MATCH(A18,Paychecks!$A$2:$A$27,0)),""))</f>
        <v/>
      </c>
    </row>
    <row r="19" customFormat="false" ht="15" hidden="false" customHeight="false" outlineLevel="0" collapsed="false">
      <c r="A19" s="16"/>
      <c r="B19" s="5"/>
      <c r="C19" s="5"/>
      <c r="D19" s="7"/>
      <c r="E19" s="15" t="str">
        <f aca="false">IF(A19="","",IFERROR(INDEX(Paychecks!$B$2:$B$27,MATCH(A19,Paychecks!$A$2:$A$27,0)),""))</f>
        <v/>
      </c>
    </row>
    <row r="20" customFormat="false" ht="15" hidden="false" customHeight="false" outlineLevel="0" collapsed="false">
      <c r="A20" s="16"/>
      <c r="B20" s="5"/>
      <c r="C20" s="5"/>
      <c r="D20" s="7"/>
      <c r="E20" s="15" t="str">
        <f aca="false">IF(A20="","",IFERROR(INDEX(Paychecks!$B$2:$B$27,MATCH(A20,Paychecks!$A$2:$A$27,0)),""))</f>
        <v/>
      </c>
    </row>
    <row r="21" customFormat="false" ht="15" hidden="false" customHeight="false" outlineLevel="0" collapsed="false">
      <c r="A21" s="16"/>
      <c r="B21" s="5"/>
      <c r="C21" s="5"/>
      <c r="D21" s="7"/>
      <c r="E21" s="15" t="str">
        <f aca="false">IF(A21="","",IFERROR(INDEX(Paychecks!$B$2:$B$27,MATCH(A21,Paychecks!$A$2:$A$27,0)),""))</f>
        <v/>
      </c>
    </row>
    <row r="22" customFormat="false" ht="15" hidden="false" customHeight="false" outlineLevel="0" collapsed="false">
      <c r="A22" s="16"/>
      <c r="B22" s="5"/>
      <c r="C22" s="5"/>
      <c r="D22" s="7"/>
      <c r="E22" s="15" t="str">
        <f aca="false">IF(A22="","",IFERROR(INDEX(Paychecks!$B$2:$B$27,MATCH(A22,Paychecks!$A$2:$A$27,0)),""))</f>
        <v/>
      </c>
    </row>
    <row r="23" customFormat="false" ht="15" hidden="false" customHeight="false" outlineLevel="0" collapsed="false">
      <c r="A23" s="16"/>
      <c r="B23" s="5"/>
      <c r="C23" s="5"/>
      <c r="D23" s="7"/>
      <c r="E23" s="15" t="str">
        <f aca="false">IF(A23="","",IFERROR(INDEX(Paychecks!$B$2:$B$27,MATCH(A23,Paychecks!$A$2:$A$27,0)),""))</f>
        <v/>
      </c>
    </row>
    <row r="24" customFormat="false" ht="15" hidden="false" customHeight="false" outlineLevel="0" collapsed="false">
      <c r="A24" s="16"/>
      <c r="B24" s="5"/>
      <c r="C24" s="5"/>
      <c r="D24" s="7"/>
      <c r="E24" s="15" t="str">
        <f aca="false">IF(A24="","",IFERROR(INDEX(Paychecks!$B$2:$B$27,MATCH(A24,Paychecks!$A$2:$A$27,0)),""))</f>
        <v/>
      </c>
    </row>
    <row r="25" customFormat="false" ht="15" hidden="false" customHeight="false" outlineLevel="0" collapsed="false">
      <c r="A25" s="16"/>
      <c r="B25" s="5"/>
      <c r="C25" s="5"/>
      <c r="D25" s="7"/>
      <c r="E25" s="15" t="str">
        <f aca="false">IF(A25="","",IFERROR(INDEX(Paychecks!$B$2:$B$27,MATCH(A25,Paychecks!$A$2:$A$27,0)),""))</f>
        <v/>
      </c>
    </row>
    <row r="26" customFormat="false" ht="15" hidden="false" customHeight="false" outlineLevel="0" collapsed="false">
      <c r="A26" s="16"/>
      <c r="B26" s="5"/>
      <c r="C26" s="5"/>
      <c r="D26" s="7"/>
      <c r="E26" s="15" t="str">
        <f aca="false">IF(A26="","",IFERROR(INDEX(Paychecks!$B$2:$B$27,MATCH(A26,Paychecks!$A$2:$A$27,0)),""))</f>
        <v/>
      </c>
    </row>
    <row r="27" customFormat="false" ht="15" hidden="false" customHeight="false" outlineLevel="0" collapsed="false">
      <c r="A27" s="16"/>
      <c r="B27" s="5"/>
      <c r="C27" s="5"/>
      <c r="D27" s="7"/>
      <c r="E27" s="15" t="str">
        <f aca="false">IF(A27="","",IFERROR(INDEX(Paychecks!$B$2:$B$27,MATCH(A27,Paychecks!$A$2:$A$27,0)),""))</f>
        <v/>
      </c>
    </row>
    <row r="28" customFormat="false" ht="15" hidden="false" customHeight="false" outlineLevel="0" collapsed="false">
      <c r="A28" s="16"/>
      <c r="B28" s="5"/>
      <c r="C28" s="5"/>
      <c r="D28" s="7"/>
      <c r="E28" s="15" t="str">
        <f aca="false">IF(A28="","",IFERROR(INDEX(Paychecks!$B$2:$B$27,MATCH(A28,Paychecks!$A$2:$A$27,0)),""))</f>
        <v/>
      </c>
    </row>
    <row r="29" customFormat="false" ht="15" hidden="false" customHeight="false" outlineLevel="0" collapsed="false">
      <c r="A29" s="16"/>
      <c r="B29" s="5"/>
      <c r="C29" s="5"/>
      <c r="D29" s="7"/>
      <c r="E29" s="15" t="str">
        <f aca="false">IF(A29="","",IFERROR(INDEX(Paychecks!$B$2:$B$27,MATCH(A29,Paychecks!$A$2:$A$27,0)),""))</f>
        <v/>
      </c>
    </row>
    <row r="30" customFormat="false" ht="15" hidden="false" customHeight="false" outlineLevel="0" collapsed="false">
      <c r="A30" s="16"/>
      <c r="B30" s="5"/>
      <c r="C30" s="5"/>
      <c r="D30" s="7"/>
      <c r="E30" s="15" t="str">
        <f aca="false">IF(A30="","",IFERROR(INDEX(Paychecks!$B$2:$B$27,MATCH(A30,Paychecks!$A$2:$A$27,0)),""))</f>
        <v/>
      </c>
    </row>
    <row r="31" customFormat="false" ht="15" hidden="false" customHeight="false" outlineLevel="0" collapsed="false">
      <c r="A31" s="16"/>
      <c r="B31" s="5"/>
      <c r="C31" s="5"/>
      <c r="D31" s="7"/>
      <c r="E31" s="15" t="str">
        <f aca="false">IF(A31="","",IFERROR(INDEX(Paychecks!$B$2:$B$27,MATCH(A31,Paychecks!$A$2:$A$27,0)),""))</f>
        <v/>
      </c>
    </row>
    <row r="32" customFormat="false" ht="15" hidden="false" customHeight="false" outlineLevel="0" collapsed="false">
      <c r="A32" s="16"/>
      <c r="B32" s="5"/>
      <c r="C32" s="5"/>
      <c r="D32" s="7"/>
      <c r="E32" s="15" t="str">
        <f aca="false">IF(A32="","",IFERROR(INDEX(Paychecks!$B$2:$B$27,MATCH(A32,Paychecks!$A$2:$A$27,0)),""))</f>
        <v/>
      </c>
    </row>
    <row r="33" customFormat="false" ht="15" hidden="false" customHeight="false" outlineLevel="0" collapsed="false">
      <c r="A33" s="16"/>
      <c r="B33" s="5"/>
      <c r="C33" s="5"/>
      <c r="D33" s="7"/>
      <c r="E33" s="15" t="str">
        <f aca="false">IF(A33="","",IFERROR(INDEX(Paychecks!$B$2:$B$27,MATCH(A33,Paychecks!$A$2:$A$27,0)),""))</f>
        <v/>
      </c>
    </row>
    <row r="34" customFormat="false" ht="15" hidden="false" customHeight="false" outlineLevel="0" collapsed="false">
      <c r="A34" s="16"/>
      <c r="B34" s="5"/>
      <c r="C34" s="5"/>
      <c r="D34" s="7"/>
      <c r="E34" s="15" t="str">
        <f aca="false">IF(A34="","",IFERROR(INDEX(Paychecks!$B$2:$B$27,MATCH(A34,Paychecks!$A$2:$A$27,0)),""))</f>
        <v/>
      </c>
    </row>
    <row r="35" customFormat="false" ht="15" hidden="false" customHeight="false" outlineLevel="0" collapsed="false">
      <c r="A35" s="16"/>
      <c r="B35" s="5"/>
      <c r="C35" s="5"/>
      <c r="D35" s="7"/>
      <c r="E35" s="15" t="str">
        <f aca="false">IF(A35="","",IFERROR(INDEX(Paychecks!$B$2:$B$27,MATCH(A35,Paychecks!$A$2:$A$27,0)),""))</f>
        <v/>
      </c>
    </row>
    <row r="36" customFormat="false" ht="15" hidden="false" customHeight="false" outlineLevel="0" collapsed="false">
      <c r="A36" s="16"/>
      <c r="B36" s="5"/>
      <c r="C36" s="5"/>
      <c r="D36" s="7"/>
      <c r="E36" s="15" t="str">
        <f aca="false">IF(A36="","",IFERROR(INDEX(Paychecks!$B$2:$B$27,MATCH(A36,Paychecks!$A$2:$A$27,0)),""))</f>
        <v/>
      </c>
    </row>
    <row r="37" customFormat="false" ht="15" hidden="false" customHeight="false" outlineLevel="0" collapsed="false">
      <c r="A37" s="16"/>
      <c r="B37" s="5"/>
      <c r="C37" s="5"/>
      <c r="D37" s="7"/>
      <c r="E37" s="15" t="str">
        <f aca="false">IF(A37="","",IFERROR(INDEX(Paychecks!$B$2:$B$27,MATCH(A37,Paychecks!$A$2:$A$27,0)),""))</f>
        <v/>
      </c>
    </row>
    <row r="38" customFormat="false" ht="15" hidden="false" customHeight="false" outlineLevel="0" collapsed="false">
      <c r="A38" s="16"/>
      <c r="B38" s="5"/>
      <c r="C38" s="5"/>
      <c r="D38" s="7"/>
      <c r="E38" s="15" t="str">
        <f aca="false">IF(A38="","",IFERROR(INDEX(Paychecks!$B$2:$B$27,MATCH(A38,Paychecks!$A$2:$A$27,0)),""))</f>
        <v/>
      </c>
    </row>
    <row r="39" customFormat="false" ht="15" hidden="false" customHeight="false" outlineLevel="0" collapsed="false">
      <c r="A39" s="16"/>
      <c r="B39" s="5"/>
      <c r="C39" s="5"/>
      <c r="D39" s="7"/>
      <c r="E39" s="15" t="str">
        <f aca="false">IF(A39="","",IFERROR(INDEX(Paychecks!$B$2:$B$27,MATCH(A39,Paychecks!$A$2:$A$27,0)),""))</f>
        <v/>
      </c>
    </row>
    <row r="40" customFormat="false" ht="15" hidden="false" customHeight="false" outlineLevel="0" collapsed="false">
      <c r="A40" s="16"/>
      <c r="B40" s="5"/>
      <c r="C40" s="5"/>
      <c r="D40" s="7"/>
      <c r="E40" s="15" t="str">
        <f aca="false">IF(A40="","",IFERROR(INDEX(Paychecks!$B$2:$B$27,MATCH(A40,Paychecks!$A$2:$A$27,0)),""))</f>
        <v/>
      </c>
    </row>
    <row r="41" customFormat="false" ht="15" hidden="false" customHeight="false" outlineLevel="0" collapsed="false">
      <c r="A41" s="16"/>
      <c r="B41" s="5"/>
      <c r="C41" s="5"/>
      <c r="D41" s="7"/>
      <c r="E41" s="15" t="str">
        <f aca="false">IF(A41="","",IFERROR(INDEX(Paychecks!$B$2:$B$27,MATCH(A41,Paychecks!$A$2:$A$27,0)),""))</f>
        <v/>
      </c>
    </row>
    <row r="42" customFormat="false" ht="15" hidden="false" customHeight="false" outlineLevel="0" collapsed="false">
      <c r="A42" s="16"/>
      <c r="B42" s="5"/>
      <c r="C42" s="5"/>
      <c r="D42" s="7"/>
      <c r="E42" s="15" t="str">
        <f aca="false">IF(A42="","",IFERROR(INDEX(Paychecks!$B$2:$B$27,MATCH(A42,Paychecks!$A$2:$A$27,0)),""))</f>
        <v/>
      </c>
    </row>
    <row r="43" customFormat="false" ht="15" hidden="false" customHeight="false" outlineLevel="0" collapsed="false">
      <c r="A43" s="16"/>
      <c r="B43" s="5"/>
      <c r="C43" s="5"/>
      <c r="D43" s="7"/>
      <c r="E43" s="15" t="str">
        <f aca="false">IF(A43="","",IFERROR(INDEX(Paychecks!$B$2:$B$27,MATCH(A43,Paychecks!$A$2:$A$27,0)),""))</f>
        <v/>
      </c>
    </row>
    <row r="44" customFormat="false" ht="15" hidden="false" customHeight="false" outlineLevel="0" collapsed="false">
      <c r="A44" s="16"/>
      <c r="B44" s="5"/>
      <c r="C44" s="5"/>
      <c r="D44" s="7"/>
      <c r="E44" s="15" t="str">
        <f aca="false">IF(A44="","",IFERROR(INDEX(Paychecks!$B$2:$B$27,MATCH(A44,Paychecks!$A$2:$A$27,0)),""))</f>
        <v/>
      </c>
    </row>
    <row r="45" customFormat="false" ht="15" hidden="false" customHeight="false" outlineLevel="0" collapsed="false">
      <c r="A45" s="16"/>
      <c r="B45" s="5"/>
      <c r="C45" s="5"/>
      <c r="D45" s="7"/>
      <c r="E45" s="15" t="str">
        <f aca="false">IF(A45="","",IFERROR(INDEX(Paychecks!$B$2:$B$27,MATCH(A45,Paychecks!$A$2:$A$27,0)),""))</f>
        <v/>
      </c>
    </row>
    <row r="46" customFormat="false" ht="15" hidden="false" customHeight="false" outlineLevel="0" collapsed="false">
      <c r="A46" s="16"/>
      <c r="B46" s="5"/>
      <c r="C46" s="5"/>
      <c r="D46" s="7"/>
      <c r="E46" s="15" t="str">
        <f aca="false">IF(A46="","",IFERROR(INDEX(Paychecks!$B$2:$B$27,MATCH(A46,Paychecks!$A$2:$A$27,0)),""))</f>
        <v/>
      </c>
    </row>
    <row r="47" customFormat="false" ht="15" hidden="false" customHeight="false" outlineLevel="0" collapsed="false">
      <c r="A47" s="16"/>
      <c r="B47" s="5"/>
      <c r="C47" s="5"/>
      <c r="D47" s="7"/>
      <c r="E47" s="15" t="str">
        <f aca="false">IF(A47="","",IFERROR(INDEX(Paychecks!$B$2:$B$27,MATCH(A47,Paychecks!$A$2:$A$27,0)),""))</f>
        <v/>
      </c>
    </row>
    <row r="48" customFormat="false" ht="15" hidden="false" customHeight="false" outlineLevel="0" collapsed="false">
      <c r="A48" s="16"/>
      <c r="B48" s="5"/>
      <c r="C48" s="5"/>
      <c r="D48" s="7"/>
      <c r="E48" s="15" t="str">
        <f aca="false">IF(A48="","",IFERROR(INDEX(Paychecks!$B$2:$B$27,MATCH(A48,Paychecks!$A$2:$A$27,0)),""))</f>
        <v/>
      </c>
    </row>
    <row r="49" customFormat="false" ht="15" hidden="false" customHeight="false" outlineLevel="0" collapsed="false">
      <c r="A49" s="16"/>
      <c r="B49" s="5"/>
      <c r="C49" s="5"/>
      <c r="D49" s="7"/>
      <c r="E49" s="15" t="str">
        <f aca="false">IF(A49="","",IFERROR(INDEX(Paychecks!$B$2:$B$27,MATCH(A49,Paychecks!$A$2:$A$27,0)),""))</f>
        <v/>
      </c>
    </row>
    <row r="50" customFormat="false" ht="15" hidden="false" customHeight="false" outlineLevel="0" collapsed="false">
      <c r="A50" s="16"/>
      <c r="B50" s="5"/>
      <c r="C50" s="5"/>
      <c r="D50" s="7"/>
      <c r="E50" s="15" t="str">
        <f aca="false">IF(A50="","",IFERROR(INDEX(Paychecks!$B$2:$B$27,MATCH(A50,Paychecks!$A$2:$A$27,0)),""))</f>
        <v/>
      </c>
    </row>
    <row r="51" customFormat="false" ht="15" hidden="false" customHeight="false" outlineLevel="0" collapsed="false">
      <c r="A51" s="16"/>
      <c r="B51" s="5"/>
      <c r="C51" s="5"/>
      <c r="D51" s="7"/>
      <c r="E51" s="15" t="str">
        <f aca="false">IF(A51="","",IFERROR(INDEX(Paychecks!$B$2:$B$27,MATCH(A51,Paychecks!$A$2:$A$27,0)),""))</f>
        <v/>
      </c>
    </row>
    <row r="52" customFormat="false" ht="15" hidden="false" customHeight="false" outlineLevel="0" collapsed="false">
      <c r="A52" s="16"/>
      <c r="B52" s="5"/>
      <c r="C52" s="5"/>
      <c r="D52" s="7"/>
      <c r="E52" s="15" t="str">
        <f aca="false">IF(A52="","",IFERROR(INDEX(Paychecks!$B$2:$B$27,MATCH(A52,Paychecks!$A$2:$A$27,0)),""))</f>
        <v/>
      </c>
    </row>
    <row r="53" customFormat="false" ht="15" hidden="false" customHeight="false" outlineLevel="0" collapsed="false">
      <c r="A53" s="16"/>
      <c r="B53" s="5"/>
      <c r="C53" s="5"/>
      <c r="D53" s="7"/>
      <c r="E53" s="15" t="str">
        <f aca="false">IF(A53="","",IFERROR(INDEX(Paychecks!$B$2:$B$27,MATCH(A53,Paychecks!$A$2:$A$27,0)),""))</f>
        <v/>
      </c>
    </row>
    <row r="54" customFormat="false" ht="15" hidden="false" customHeight="false" outlineLevel="0" collapsed="false">
      <c r="A54" s="16"/>
      <c r="B54" s="5"/>
      <c r="C54" s="5"/>
      <c r="D54" s="7"/>
      <c r="E54" s="15" t="str">
        <f aca="false">IF(A54="","",IFERROR(INDEX(Paychecks!$B$2:$B$27,MATCH(A54,Paychecks!$A$2:$A$27,0)),""))</f>
        <v/>
      </c>
    </row>
    <row r="55" customFormat="false" ht="15" hidden="false" customHeight="false" outlineLevel="0" collapsed="false">
      <c r="A55" s="16"/>
      <c r="B55" s="5"/>
      <c r="C55" s="5"/>
      <c r="D55" s="7"/>
      <c r="E55" s="15" t="str">
        <f aca="false">IF(A55="","",IFERROR(INDEX(Paychecks!$B$2:$B$27,MATCH(A55,Paychecks!$A$2:$A$27,0)),""))</f>
        <v/>
      </c>
    </row>
    <row r="56" customFormat="false" ht="15" hidden="false" customHeight="false" outlineLevel="0" collapsed="false">
      <c r="A56" s="16"/>
      <c r="B56" s="5"/>
      <c r="C56" s="5"/>
      <c r="D56" s="7"/>
      <c r="E56" s="15" t="str">
        <f aca="false">IF(A56="","",IFERROR(INDEX(Paychecks!$B$2:$B$27,MATCH(A56,Paychecks!$A$2:$A$27,0)),""))</f>
        <v/>
      </c>
    </row>
    <row r="57" customFormat="false" ht="15" hidden="false" customHeight="false" outlineLevel="0" collapsed="false">
      <c r="A57" s="16"/>
      <c r="B57" s="5"/>
      <c r="C57" s="5"/>
      <c r="D57" s="7"/>
      <c r="E57" s="15" t="str">
        <f aca="false">IF(A57="","",IFERROR(INDEX(Paychecks!$B$2:$B$27,MATCH(A57,Paychecks!$A$2:$A$27,0)),""))</f>
        <v/>
      </c>
    </row>
    <row r="58" customFormat="false" ht="15" hidden="false" customHeight="false" outlineLevel="0" collapsed="false">
      <c r="A58" s="16"/>
      <c r="B58" s="5"/>
      <c r="C58" s="5"/>
      <c r="D58" s="7"/>
      <c r="E58" s="15" t="str">
        <f aca="false">IF(A58="","",IFERROR(INDEX(Paychecks!$B$2:$B$27,MATCH(A58,Paychecks!$A$2:$A$27,0)),""))</f>
        <v/>
      </c>
    </row>
    <row r="59" customFormat="false" ht="15" hidden="false" customHeight="false" outlineLevel="0" collapsed="false">
      <c r="A59" s="16"/>
      <c r="B59" s="5"/>
      <c r="C59" s="5"/>
      <c r="D59" s="7"/>
      <c r="E59" s="15" t="str">
        <f aca="false">IF(A59="","",IFERROR(INDEX(Paychecks!$B$2:$B$27,MATCH(A59,Paychecks!$A$2:$A$27,0)),""))</f>
        <v/>
      </c>
    </row>
    <row r="60" customFormat="false" ht="15" hidden="false" customHeight="false" outlineLevel="0" collapsed="false">
      <c r="A60" s="16"/>
      <c r="B60" s="5"/>
      <c r="C60" s="5"/>
      <c r="D60" s="7"/>
      <c r="E60" s="15" t="str">
        <f aca="false">IF(A60="","",IFERROR(INDEX(Paychecks!$B$2:$B$27,MATCH(A60,Paychecks!$A$2:$A$27,0)),""))</f>
        <v/>
      </c>
    </row>
    <row r="61" customFormat="false" ht="15" hidden="false" customHeight="false" outlineLevel="0" collapsed="false">
      <c r="A61" s="16"/>
      <c r="B61" s="5"/>
      <c r="C61" s="5"/>
      <c r="D61" s="7"/>
      <c r="E61" s="15" t="str">
        <f aca="false">IF(A61="","",IFERROR(INDEX(Paychecks!$B$2:$B$27,MATCH(A61,Paychecks!$A$2:$A$27,0)),""))</f>
        <v/>
      </c>
    </row>
    <row r="62" customFormat="false" ht="15" hidden="false" customHeight="false" outlineLevel="0" collapsed="false">
      <c r="A62" s="16"/>
      <c r="B62" s="5"/>
      <c r="C62" s="5"/>
      <c r="D62" s="7"/>
      <c r="E62" s="15" t="str">
        <f aca="false">IF(A62="","",IFERROR(INDEX(Paychecks!$B$2:$B$27,MATCH(A62,Paychecks!$A$2:$A$27,0)),""))</f>
        <v/>
      </c>
    </row>
    <row r="63" customFormat="false" ht="15" hidden="false" customHeight="false" outlineLevel="0" collapsed="false">
      <c r="A63" s="16"/>
      <c r="B63" s="5"/>
      <c r="C63" s="5"/>
      <c r="D63" s="7"/>
      <c r="E63" s="15" t="str">
        <f aca="false">IF(A63="","",IFERROR(INDEX(Paychecks!$B$2:$B$27,MATCH(A63,Paychecks!$A$2:$A$27,0)),""))</f>
        <v/>
      </c>
    </row>
    <row r="64" customFormat="false" ht="15" hidden="false" customHeight="false" outlineLevel="0" collapsed="false">
      <c r="A64" s="16"/>
      <c r="B64" s="5"/>
      <c r="C64" s="5"/>
      <c r="D64" s="7"/>
      <c r="E64" s="15" t="str">
        <f aca="false">IF(A64="","",IFERROR(INDEX(Paychecks!$B$2:$B$27,MATCH(A64,Paychecks!$A$2:$A$27,0)),""))</f>
        <v/>
      </c>
    </row>
    <row r="65" customFormat="false" ht="15" hidden="false" customHeight="false" outlineLevel="0" collapsed="false">
      <c r="A65" s="16"/>
      <c r="B65" s="5"/>
      <c r="C65" s="5"/>
      <c r="D65" s="7"/>
      <c r="E65" s="15" t="str">
        <f aca="false">IF(A65="","",IFERROR(INDEX(Paychecks!$B$2:$B$27,MATCH(A65,Paychecks!$A$2:$A$27,0)),""))</f>
        <v/>
      </c>
    </row>
    <row r="66" customFormat="false" ht="15" hidden="false" customHeight="false" outlineLevel="0" collapsed="false">
      <c r="A66" s="16"/>
      <c r="B66" s="5"/>
      <c r="C66" s="5"/>
      <c r="D66" s="7"/>
      <c r="E66" s="15" t="str">
        <f aca="false">IF(A66="","",IFERROR(INDEX(Paychecks!$B$2:$B$27,MATCH(A66,Paychecks!$A$2:$A$27,0)),""))</f>
        <v/>
      </c>
    </row>
    <row r="67" customFormat="false" ht="15" hidden="false" customHeight="false" outlineLevel="0" collapsed="false">
      <c r="A67" s="16"/>
      <c r="B67" s="5"/>
      <c r="C67" s="5"/>
      <c r="D67" s="7"/>
      <c r="E67" s="15" t="str">
        <f aca="false">IF(A67="","",IFERROR(INDEX(Paychecks!$B$2:$B$27,MATCH(A67,Paychecks!$A$2:$A$27,0)),""))</f>
        <v/>
      </c>
    </row>
    <row r="68" customFormat="false" ht="15" hidden="false" customHeight="false" outlineLevel="0" collapsed="false">
      <c r="A68" s="16"/>
      <c r="B68" s="5"/>
      <c r="C68" s="5"/>
      <c r="D68" s="7"/>
      <c r="E68" s="15" t="str">
        <f aca="false">IF(A68="","",IFERROR(INDEX(Paychecks!$B$2:$B$27,MATCH(A68,Paychecks!$A$2:$A$27,0)),""))</f>
        <v/>
      </c>
    </row>
    <row r="69" customFormat="false" ht="15" hidden="false" customHeight="false" outlineLevel="0" collapsed="false">
      <c r="A69" s="16"/>
      <c r="B69" s="5"/>
      <c r="C69" s="5"/>
      <c r="D69" s="7"/>
      <c r="E69" s="15" t="str">
        <f aca="false">IF(A69="","",IFERROR(INDEX(Paychecks!$B$2:$B$27,MATCH(A69,Paychecks!$A$2:$A$27,0)),""))</f>
        <v/>
      </c>
    </row>
    <row r="70" customFormat="false" ht="15" hidden="false" customHeight="false" outlineLevel="0" collapsed="false">
      <c r="A70" s="16"/>
      <c r="B70" s="5"/>
      <c r="C70" s="5"/>
      <c r="D70" s="7"/>
      <c r="E70" s="15" t="str">
        <f aca="false">IF(A70="","",IFERROR(INDEX(Paychecks!$B$2:$B$27,MATCH(A70,Paychecks!$A$2:$A$27,0)),""))</f>
        <v/>
      </c>
    </row>
    <row r="71" customFormat="false" ht="15" hidden="false" customHeight="false" outlineLevel="0" collapsed="false">
      <c r="A71" s="16"/>
      <c r="B71" s="5"/>
      <c r="C71" s="5"/>
      <c r="D71" s="7"/>
      <c r="E71" s="15" t="str">
        <f aca="false">IF(A71="","",IFERROR(INDEX(Paychecks!$B$2:$B$27,MATCH(A71,Paychecks!$A$2:$A$27,0)),""))</f>
        <v/>
      </c>
    </row>
    <row r="72" customFormat="false" ht="15" hidden="false" customHeight="false" outlineLevel="0" collapsed="false">
      <c r="A72" s="16"/>
      <c r="B72" s="5"/>
      <c r="C72" s="5"/>
      <c r="D72" s="7"/>
      <c r="E72" s="15" t="str">
        <f aca="false">IF(A72="","",IFERROR(INDEX(Paychecks!$B$2:$B$27,MATCH(A72,Paychecks!$A$2:$A$27,0)),""))</f>
        <v/>
      </c>
    </row>
    <row r="73" customFormat="false" ht="15" hidden="false" customHeight="false" outlineLevel="0" collapsed="false">
      <c r="A73" s="16"/>
      <c r="B73" s="5"/>
      <c r="C73" s="5"/>
      <c r="D73" s="7"/>
      <c r="E73" s="15" t="str">
        <f aca="false">IF(A73="","",IFERROR(INDEX(Paychecks!$B$2:$B$27,MATCH(A73,Paychecks!$A$2:$A$27,0)),""))</f>
        <v/>
      </c>
    </row>
    <row r="74" customFormat="false" ht="15" hidden="false" customHeight="false" outlineLevel="0" collapsed="false">
      <c r="A74" s="16"/>
      <c r="B74" s="5"/>
      <c r="C74" s="5"/>
      <c r="D74" s="7"/>
      <c r="E74" s="15" t="str">
        <f aca="false">IF(A74="","",IFERROR(INDEX(Paychecks!$B$2:$B$27,MATCH(A74,Paychecks!$A$2:$A$27,0)),""))</f>
        <v/>
      </c>
    </row>
    <row r="75" customFormat="false" ht="15" hidden="false" customHeight="false" outlineLevel="0" collapsed="false">
      <c r="A75" s="16"/>
      <c r="B75" s="5"/>
      <c r="C75" s="5"/>
      <c r="D75" s="7"/>
      <c r="E75" s="15" t="str">
        <f aca="false">IF(A75="","",IFERROR(INDEX(Paychecks!$B$2:$B$27,MATCH(A75,Paychecks!$A$2:$A$27,0)),""))</f>
        <v/>
      </c>
    </row>
    <row r="76" customFormat="false" ht="15" hidden="false" customHeight="false" outlineLevel="0" collapsed="false">
      <c r="A76" s="16"/>
      <c r="B76" s="5"/>
      <c r="C76" s="5"/>
      <c r="D76" s="7"/>
      <c r="E76" s="15" t="str">
        <f aca="false">IF(A76="","",IFERROR(INDEX(Paychecks!$B$2:$B$27,MATCH(A76,Paychecks!$A$2:$A$27,0)),""))</f>
        <v/>
      </c>
    </row>
    <row r="77" customFormat="false" ht="15" hidden="false" customHeight="false" outlineLevel="0" collapsed="false">
      <c r="A77" s="16"/>
      <c r="B77" s="5"/>
      <c r="C77" s="5"/>
      <c r="D77" s="7"/>
      <c r="E77" s="15" t="str">
        <f aca="false">IF(A77="","",IFERROR(INDEX(Paychecks!$B$2:$B$27,MATCH(A77,Paychecks!$A$2:$A$27,0)),""))</f>
        <v/>
      </c>
    </row>
    <row r="78" customFormat="false" ht="15" hidden="false" customHeight="false" outlineLevel="0" collapsed="false">
      <c r="A78" s="16"/>
      <c r="B78" s="5"/>
      <c r="C78" s="5"/>
      <c r="D78" s="7"/>
      <c r="E78" s="15" t="str">
        <f aca="false">IF(A78="","",IFERROR(INDEX(Paychecks!$B$2:$B$27,MATCH(A78,Paychecks!$A$2:$A$27,0)),""))</f>
        <v/>
      </c>
    </row>
    <row r="79" customFormat="false" ht="15" hidden="false" customHeight="false" outlineLevel="0" collapsed="false">
      <c r="A79" s="16"/>
      <c r="B79" s="5"/>
      <c r="C79" s="5"/>
      <c r="D79" s="7"/>
      <c r="E79" s="15" t="str">
        <f aca="false">IF(A79="","",IFERROR(INDEX(Paychecks!$B$2:$B$27,MATCH(A79,Paychecks!$A$2:$A$27,0)),""))</f>
        <v/>
      </c>
    </row>
    <row r="80" customFormat="false" ht="15" hidden="false" customHeight="false" outlineLevel="0" collapsed="false">
      <c r="A80" s="16"/>
      <c r="B80" s="5"/>
      <c r="C80" s="5"/>
      <c r="D80" s="7"/>
      <c r="E80" s="15" t="str">
        <f aca="false">IF(A80="","",IFERROR(INDEX(Paychecks!$B$2:$B$27,MATCH(A80,Paychecks!$A$2:$A$27,0)),""))</f>
        <v/>
      </c>
    </row>
    <row r="81" customFormat="false" ht="15" hidden="false" customHeight="false" outlineLevel="0" collapsed="false">
      <c r="A81" s="16"/>
      <c r="B81" s="5"/>
      <c r="C81" s="5"/>
      <c r="D81" s="7"/>
      <c r="E81" s="15" t="str">
        <f aca="false">IF(A81="","",IFERROR(INDEX(Paychecks!$B$2:$B$27,MATCH(A81,Paychecks!$A$2:$A$27,0)),""))</f>
        <v/>
      </c>
    </row>
    <row r="82" customFormat="false" ht="15" hidden="false" customHeight="false" outlineLevel="0" collapsed="false">
      <c r="A82" s="16"/>
      <c r="B82" s="5"/>
      <c r="C82" s="5"/>
      <c r="D82" s="7"/>
      <c r="E82" s="15" t="str">
        <f aca="false">IF(A82="","",IFERROR(INDEX(Paychecks!$B$2:$B$27,MATCH(A82,Paychecks!$A$2:$A$27,0)),""))</f>
        <v/>
      </c>
    </row>
    <row r="83" customFormat="false" ht="15" hidden="false" customHeight="false" outlineLevel="0" collapsed="false">
      <c r="A83" s="16"/>
      <c r="B83" s="5"/>
      <c r="C83" s="5"/>
      <c r="D83" s="7"/>
      <c r="E83" s="15" t="str">
        <f aca="false">IF(A83="","",IFERROR(INDEX(Paychecks!$B$2:$B$27,MATCH(A83,Paychecks!$A$2:$A$27,0)),""))</f>
        <v/>
      </c>
    </row>
    <row r="84" customFormat="false" ht="15" hidden="false" customHeight="false" outlineLevel="0" collapsed="false">
      <c r="A84" s="16"/>
      <c r="B84" s="5"/>
      <c r="C84" s="5"/>
      <c r="D84" s="7"/>
      <c r="E84" s="15" t="str">
        <f aca="false">IF(A84="","",IFERROR(INDEX(Paychecks!$B$2:$B$27,MATCH(A84,Paychecks!$A$2:$A$27,0)),""))</f>
        <v/>
      </c>
    </row>
    <row r="85" customFormat="false" ht="15" hidden="false" customHeight="false" outlineLevel="0" collapsed="false">
      <c r="A85" s="16"/>
      <c r="B85" s="5"/>
      <c r="C85" s="5"/>
      <c r="D85" s="7"/>
      <c r="E85" s="15" t="str">
        <f aca="false">IF(A85="","",IFERROR(INDEX(Paychecks!$B$2:$B$27,MATCH(A85,Paychecks!$A$2:$A$27,0)),""))</f>
        <v/>
      </c>
    </row>
    <row r="86" customFormat="false" ht="15" hidden="false" customHeight="false" outlineLevel="0" collapsed="false">
      <c r="A86" s="16"/>
      <c r="B86" s="5"/>
      <c r="C86" s="5"/>
      <c r="D86" s="7"/>
      <c r="E86" s="15" t="str">
        <f aca="false">IF(A86="","",IFERROR(INDEX(Paychecks!$B$2:$B$27,MATCH(A86,Paychecks!$A$2:$A$27,0)),""))</f>
        <v/>
      </c>
    </row>
    <row r="87" customFormat="false" ht="15" hidden="false" customHeight="false" outlineLevel="0" collapsed="false">
      <c r="A87" s="16"/>
      <c r="B87" s="5"/>
      <c r="C87" s="5"/>
      <c r="D87" s="7"/>
      <c r="E87" s="15" t="str">
        <f aca="false">IF(A87="","",IFERROR(INDEX(Paychecks!$B$2:$B$27,MATCH(A87,Paychecks!$A$2:$A$27,0)),""))</f>
        <v/>
      </c>
    </row>
    <row r="88" customFormat="false" ht="15" hidden="false" customHeight="false" outlineLevel="0" collapsed="false">
      <c r="A88" s="16"/>
      <c r="B88" s="5"/>
      <c r="C88" s="5"/>
      <c r="D88" s="7"/>
      <c r="E88" s="15" t="str">
        <f aca="false">IF(A88="","",IFERROR(INDEX(Paychecks!$B$2:$B$27,MATCH(A88,Paychecks!$A$2:$A$27,0)),""))</f>
        <v/>
      </c>
    </row>
    <row r="89" customFormat="false" ht="15" hidden="false" customHeight="false" outlineLevel="0" collapsed="false">
      <c r="A89" s="16"/>
      <c r="B89" s="5"/>
      <c r="C89" s="5"/>
      <c r="D89" s="7"/>
      <c r="E89" s="15" t="str">
        <f aca="false">IF(A89="","",IFERROR(INDEX(Paychecks!$B$2:$B$27,MATCH(A89,Paychecks!$A$2:$A$27,0)),""))</f>
        <v/>
      </c>
    </row>
    <row r="90" customFormat="false" ht="15" hidden="false" customHeight="false" outlineLevel="0" collapsed="false">
      <c r="A90" s="16"/>
      <c r="B90" s="5"/>
      <c r="C90" s="5"/>
      <c r="D90" s="7"/>
      <c r="E90" s="15" t="str">
        <f aca="false">IF(A90="","",IFERROR(INDEX(Paychecks!$B$2:$B$27,MATCH(A90,Paychecks!$A$2:$A$27,0)),""))</f>
        <v/>
      </c>
    </row>
    <row r="91" customFormat="false" ht="15" hidden="false" customHeight="false" outlineLevel="0" collapsed="false">
      <c r="A91" s="16"/>
      <c r="B91" s="5"/>
      <c r="C91" s="5"/>
      <c r="D91" s="7"/>
      <c r="E91" s="15" t="str">
        <f aca="false">IF(A91="","",IFERROR(INDEX(Paychecks!$B$2:$B$27,MATCH(A91,Paychecks!$A$2:$A$27,0)),""))</f>
        <v/>
      </c>
    </row>
    <row r="92" customFormat="false" ht="15" hidden="false" customHeight="false" outlineLevel="0" collapsed="false">
      <c r="A92" s="16"/>
      <c r="B92" s="5"/>
      <c r="C92" s="5"/>
      <c r="D92" s="7"/>
      <c r="E92" s="15" t="str">
        <f aca="false">IF(A92="","",IFERROR(INDEX(Paychecks!$B$2:$B$27,MATCH(A92,Paychecks!$A$2:$A$27,0)),""))</f>
        <v/>
      </c>
    </row>
    <row r="93" customFormat="false" ht="15" hidden="false" customHeight="false" outlineLevel="0" collapsed="false">
      <c r="A93" s="16"/>
      <c r="B93" s="5"/>
      <c r="C93" s="5"/>
      <c r="D93" s="7"/>
      <c r="E93" s="15" t="str">
        <f aca="false">IF(A93="","",IFERROR(INDEX(Paychecks!$B$2:$B$27,MATCH(A93,Paychecks!$A$2:$A$27,0)),""))</f>
        <v/>
      </c>
    </row>
    <row r="94" customFormat="false" ht="15" hidden="false" customHeight="false" outlineLevel="0" collapsed="false">
      <c r="A94" s="16"/>
      <c r="B94" s="5"/>
      <c r="C94" s="5"/>
      <c r="D94" s="7"/>
      <c r="E94" s="15" t="str">
        <f aca="false">IF(A94="","",IFERROR(INDEX(Paychecks!$B$2:$B$27,MATCH(A94,Paychecks!$A$2:$A$27,0)),""))</f>
        <v/>
      </c>
    </row>
    <row r="95" customFormat="false" ht="15" hidden="false" customHeight="false" outlineLevel="0" collapsed="false">
      <c r="A95" s="16"/>
      <c r="B95" s="5"/>
      <c r="C95" s="5"/>
      <c r="D95" s="7"/>
      <c r="E95" s="15" t="str">
        <f aca="false">IF(A95="","",IFERROR(INDEX(Paychecks!$B$2:$B$27,MATCH(A95,Paychecks!$A$2:$A$27,0)),""))</f>
        <v/>
      </c>
    </row>
    <row r="96" customFormat="false" ht="15" hidden="false" customHeight="false" outlineLevel="0" collapsed="false">
      <c r="A96" s="16"/>
      <c r="B96" s="5"/>
      <c r="C96" s="5"/>
      <c r="D96" s="7"/>
      <c r="E96" s="15" t="str">
        <f aca="false">IF(A96="","",IFERROR(INDEX(Paychecks!$B$2:$B$27,MATCH(A96,Paychecks!$A$2:$A$27,0)),""))</f>
        <v/>
      </c>
    </row>
    <row r="97" customFormat="false" ht="15" hidden="false" customHeight="false" outlineLevel="0" collapsed="false">
      <c r="A97" s="16"/>
      <c r="B97" s="5"/>
      <c r="C97" s="5"/>
      <c r="D97" s="7"/>
      <c r="E97" s="15" t="str">
        <f aca="false">IF(A97="","",IFERROR(INDEX(Paychecks!$B$2:$B$27,MATCH(A97,Paychecks!$A$2:$A$27,0)),""))</f>
        <v/>
      </c>
    </row>
    <row r="98" customFormat="false" ht="15" hidden="false" customHeight="false" outlineLevel="0" collapsed="false">
      <c r="A98" s="16"/>
      <c r="B98" s="5"/>
      <c r="C98" s="5"/>
      <c r="D98" s="7"/>
      <c r="E98" s="15" t="str">
        <f aca="false">IF(A98="","",IFERROR(INDEX(Paychecks!$B$2:$B$27,MATCH(A98,Paychecks!$A$2:$A$27,0)),""))</f>
        <v/>
      </c>
    </row>
    <row r="99" customFormat="false" ht="15" hidden="false" customHeight="false" outlineLevel="0" collapsed="false">
      <c r="A99" s="16"/>
      <c r="B99" s="5"/>
      <c r="C99" s="5"/>
      <c r="D99" s="7"/>
      <c r="E99" s="15" t="str">
        <f aca="false">IF(A99="","",IFERROR(INDEX(Paychecks!$B$2:$B$27,MATCH(A99,Paychecks!$A$2:$A$27,0)),""))</f>
        <v/>
      </c>
    </row>
    <row r="100" customFormat="false" ht="15" hidden="false" customHeight="false" outlineLevel="0" collapsed="false">
      <c r="A100" s="16"/>
      <c r="B100" s="5"/>
      <c r="C100" s="5"/>
      <c r="D100" s="7"/>
      <c r="E100" s="15" t="str">
        <f aca="false">IF(A100="","",IFERROR(INDEX(Paychecks!$B$2:$B$27,MATCH(A100,Paychecks!$A$2:$A$27,0)),""))</f>
        <v/>
      </c>
    </row>
    <row r="101" customFormat="false" ht="15" hidden="false" customHeight="false" outlineLevel="0" collapsed="false">
      <c r="A101" s="16"/>
      <c r="B101" s="5"/>
      <c r="C101" s="5"/>
      <c r="D101" s="7"/>
      <c r="E101" s="15" t="str">
        <f aca="false">IF(A101="","",IFERROR(INDEX(Paychecks!$B$2:$B$27,MATCH(A101,Paychecks!$A$2:$A$27,0)),""))</f>
        <v/>
      </c>
    </row>
    <row r="102" customFormat="false" ht="15" hidden="false" customHeight="false" outlineLevel="0" collapsed="false">
      <c r="A102" s="16"/>
      <c r="B102" s="5"/>
      <c r="C102" s="5"/>
      <c r="D102" s="7"/>
      <c r="E102" s="15" t="str">
        <f aca="false">IF(A102="","",IFERROR(INDEX(Paychecks!$B$2:$B$27,MATCH(A102,Paychecks!$A$2:$A$27,0)),""))</f>
        <v/>
      </c>
    </row>
    <row r="103" customFormat="false" ht="15" hidden="false" customHeight="false" outlineLevel="0" collapsed="false">
      <c r="A103" s="16"/>
      <c r="B103" s="5"/>
      <c r="C103" s="5"/>
      <c r="D103" s="7"/>
      <c r="E103" s="15" t="str">
        <f aca="false">IF(A103="","",IFERROR(INDEX(Paychecks!$B$2:$B$27,MATCH(A103,Paychecks!$A$2:$A$27,0)),""))</f>
        <v/>
      </c>
    </row>
    <row r="104" customFormat="false" ht="15" hidden="false" customHeight="false" outlineLevel="0" collapsed="false">
      <c r="A104" s="16"/>
      <c r="B104" s="5"/>
      <c r="C104" s="5"/>
      <c r="D104" s="7"/>
      <c r="E104" s="15" t="str">
        <f aca="false">IF(A104="","",IFERROR(INDEX(Paychecks!$B$2:$B$27,MATCH(A104,Paychecks!$A$2:$A$27,0)),""))</f>
        <v/>
      </c>
    </row>
    <row r="105" customFormat="false" ht="15" hidden="false" customHeight="false" outlineLevel="0" collapsed="false">
      <c r="A105" s="16"/>
      <c r="B105" s="5"/>
      <c r="C105" s="5"/>
      <c r="D105" s="7"/>
      <c r="E105" s="15" t="str">
        <f aca="false">IF(A105="","",IFERROR(INDEX(Paychecks!$B$2:$B$27,MATCH(A105,Paychecks!$A$2:$A$27,0)),""))</f>
        <v/>
      </c>
    </row>
    <row r="106" customFormat="false" ht="15" hidden="false" customHeight="false" outlineLevel="0" collapsed="false">
      <c r="A106" s="16"/>
      <c r="B106" s="5"/>
      <c r="C106" s="5"/>
      <c r="D106" s="7"/>
      <c r="E106" s="15" t="str">
        <f aca="false">IF(A106="","",IFERROR(INDEX(Paychecks!$B$2:$B$27,MATCH(A106,Paychecks!$A$2:$A$27,0)),""))</f>
        <v/>
      </c>
    </row>
    <row r="107" customFormat="false" ht="15" hidden="false" customHeight="false" outlineLevel="0" collapsed="false">
      <c r="A107" s="16"/>
      <c r="B107" s="5"/>
      <c r="C107" s="5"/>
      <c r="D107" s="7"/>
      <c r="E107" s="15" t="str">
        <f aca="false">IF(A107="","",IFERROR(INDEX(Paychecks!$B$2:$B$27,MATCH(A107,Paychecks!$A$2:$A$27,0)),""))</f>
        <v/>
      </c>
    </row>
    <row r="108" customFormat="false" ht="15" hidden="false" customHeight="false" outlineLevel="0" collapsed="false">
      <c r="A108" s="16"/>
      <c r="B108" s="5"/>
      <c r="C108" s="5"/>
      <c r="D108" s="7"/>
      <c r="E108" s="15" t="str">
        <f aca="false">IF(A108="","",IFERROR(INDEX(Paychecks!$B$2:$B$27,MATCH(A108,Paychecks!$A$2:$A$27,0)),""))</f>
        <v/>
      </c>
    </row>
    <row r="109" customFormat="false" ht="15" hidden="false" customHeight="false" outlineLevel="0" collapsed="false">
      <c r="A109" s="16"/>
      <c r="B109" s="5"/>
      <c r="C109" s="5"/>
      <c r="D109" s="7"/>
      <c r="E109" s="15" t="str">
        <f aca="false">IF(A109="","",IFERROR(INDEX(Paychecks!$B$2:$B$27,MATCH(A109,Paychecks!$A$2:$A$27,0)),""))</f>
        <v/>
      </c>
    </row>
    <row r="110" customFormat="false" ht="15" hidden="false" customHeight="false" outlineLevel="0" collapsed="false">
      <c r="A110" s="16"/>
      <c r="B110" s="5"/>
      <c r="C110" s="5"/>
      <c r="D110" s="7"/>
      <c r="E110" s="15" t="str">
        <f aca="false">IF(A110="","",IFERROR(INDEX(Paychecks!$B$2:$B$27,MATCH(A110,Paychecks!$A$2:$A$27,0)),""))</f>
        <v/>
      </c>
    </row>
    <row r="111" customFormat="false" ht="15" hidden="false" customHeight="false" outlineLevel="0" collapsed="false">
      <c r="A111" s="16"/>
      <c r="B111" s="5"/>
      <c r="C111" s="5"/>
      <c r="D111" s="7"/>
      <c r="E111" s="15" t="str">
        <f aca="false">IF(A111="","",IFERROR(INDEX(Paychecks!$B$2:$B$27,MATCH(A111,Paychecks!$A$2:$A$27,0)),""))</f>
        <v/>
      </c>
    </row>
    <row r="112" customFormat="false" ht="15" hidden="false" customHeight="false" outlineLevel="0" collapsed="false">
      <c r="A112" s="16"/>
      <c r="B112" s="5"/>
      <c r="C112" s="5"/>
      <c r="D112" s="7"/>
      <c r="E112" s="15" t="str">
        <f aca="false">IF(A112="","",IFERROR(INDEX(Paychecks!$B$2:$B$27,MATCH(A112,Paychecks!$A$2:$A$27,0)),""))</f>
        <v/>
      </c>
    </row>
    <row r="113" customFormat="false" ht="15" hidden="false" customHeight="false" outlineLevel="0" collapsed="false">
      <c r="A113" s="16"/>
      <c r="B113" s="5"/>
      <c r="C113" s="5"/>
      <c r="D113" s="7"/>
      <c r="E113" s="15" t="str">
        <f aca="false">IF(A113="","",IFERROR(INDEX(Paychecks!$B$2:$B$27,MATCH(A113,Paychecks!$A$2:$A$27,0)),""))</f>
        <v/>
      </c>
    </row>
    <row r="114" customFormat="false" ht="15" hidden="false" customHeight="false" outlineLevel="0" collapsed="false">
      <c r="A114" s="16"/>
      <c r="B114" s="5"/>
      <c r="C114" s="5"/>
      <c r="D114" s="7"/>
      <c r="E114" s="15" t="str">
        <f aca="false">IF(A114="","",IFERROR(INDEX(Paychecks!$B$2:$B$27,MATCH(A114,Paychecks!$A$2:$A$27,0)),""))</f>
        <v/>
      </c>
    </row>
    <row r="115" customFormat="false" ht="15" hidden="false" customHeight="false" outlineLevel="0" collapsed="false">
      <c r="A115" s="16"/>
      <c r="B115" s="5"/>
      <c r="C115" s="5"/>
      <c r="D115" s="7"/>
      <c r="E115" s="15" t="str">
        <f aca="false">IF(A115="","",IFERROR(INDEX(Paychecks!$B$2:$B$27,MATCH(A115,Paychecks!$A$2:$A$27,0)),""))</f>
        <v/>
      </c>
    </row>
    <row r="116" customFormat="false" ht="15" hidden="false" customHeight="false" outlineLevel="0" collapsed="false">
      <c r="A116" s="16"/>
      <c r="B116" s="5"/>
      <c r="C116" s="5"/>
      <c r="D116" s="7"/>
      <c r="E116" s="15" t="str">
        <f aca="false">IF(A116="","",IFERROR(INDEX(Paychecks!$B$2:$B$27,MATCH(A116,Paychecks!$A$2:$A$27,0)),""))</f>
        <v/>
      </c>
    </row>
    <row r="117" customFormat="false" ht="15" hidden="false" customHeight="false" outlineLevel="0" collapsed="false">
      <c r="A117" s="16"/>
      <c r="B117" s="5"/>
      <c r="C117" s="5"/>
      <c r="D117" s="7"/>
      <c r="E117" s="15" t="str">
        <f aca="false">IF(A117="","",IFERROR(INDEX(Paychecks!$B$2:$B$27,MATCH(A117,Paychecks!$A$2:$A$27,0)),""))</f>
        <v/>
      </c>
    </row>
    <row r="118" customFormat="false" ht="15" hidden="false" customHeight="false" outlineLevel="0" collapsed="false">
      <c r="A118" s="16"/>
      <c r="B118" s="5"/>
      <c r="C118" s="5"/>
      <c r="D118" s="7"/>
      <c r="E118" s="15" t="str">
        <f aca="false">IF(A118="","",IFERROR(INDEX(Paychecks!$B$2:$B$27,MATCH(A118,Paychecks!$A$2:$A$27,0)),""))</f>
        <v/>
      </c>
    </row>
    <row r="119" customFormat="false" ht="15" hidden="false" customHeight="false" outlineLevel="0" collapsed="false">
      <c r="A119" s="16"/>
      <c r="B119" s="5"/>
      <c r="C119" s="5"/>
      <c r="D119" s="7"/>
      <c r="E119" s="15" t="str">
        <f aca="false">IF(A119="","",IFERROR(INDEX(Paychecks!$B$2:$B$27,MATCH(A119,Paychecks!$A$2:$A$27,0)),""))</f>
        <v/>
      </c>
    </row>
    <row r="120" customFormat="false" ht="15" hidden="false" customHeight="false" outlineLevel="0" collapsed="false">
      <c r="A120" s="16"/>
      <c r="B120" s="5"/>
      <c r="C120" s="5"/>
      <c r="D120" s="7"/>
      <c r="E120" s="15" t="str">
        <f aca="false">IF(A120="","",IFERROR(INDEX(Paychecks!$B$2:$B$27,MATCH(A120,Paychecks!$A$2:$A$27,0)),""))</f>
        <v/>
      </c>
    </row>
    <row r="121" customFormat="false" ht="15" hidden="false" customHeight="false" outlineLevel="0" collapsed="false">
      <c r="A121" s="16"/>
      <c r="B121" s="5"/>
      <c r="C121" s="5"/>
      <c r="D121" s="7"/>
      <c r="E121" s="15" t="str">
        <f aca="false">IF(A121="","",IFERROR(INDEX(Paychecks!$B$2:$B$27,MATCH(A121,Paychecks!$A$2:$A$27,0)),""))</f>
        <v/>
      </c>
    </row>
  </sheetData>
  <dataValidations count="1">
    <dataValidation allowBlank="true" errorStyle="stop" operator="between" showDropDown="false" showErrorMessage="false" showInputMessage="false" sqref="C2:C121" type="list">
      <formula1>Categories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6B"/>
    <pageSetUpPr fitToPage="fals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53</v>
      </c>
      <c r="D1" s="8" t="s">
        <v>58</v>
      </c>
      <c r="E1" s="8" t="s">
        <v>59</v>
      </c>
    </row>
    <row r="2" customFormat="false" ht="15" hidden="false" customHeight="false" outlineLevel="0" collapsed="false">
      <c r="A2" s="17" t="n">
        <v>46271</v>
      </c>
      <c r="B2" s="13" t="s">
        <v>60</v>
      </c>
      <c r="C2" s="13" t="s">
        <v>30</v>
      </c>
      <c r="D2" s="14" t="n">
        <v>84.5</v>
      </c>
      <c r="E2" s="9" t="n">
        <f aca="false">IF(A2="","",IFERROR(MATCH(A2,Paychecks!$B$2:$B$27,1),""))</f>
        <v>1</v>
      </c>
    </row>
    <row r="3" customFormat="false" ht="15" hidden="false" customHeight="false" outlineLevel="0" collapsed="false">
      <c r="A3" s="6"/>
      <c r="B3" s="5"/>
      <c r="C3" s="5"/>
      <c r="D3" s="7"/>
      <c r="E3" s="9" t="str">
        <f aca="false">IF(A3="","",IFERROR(MATCH(A3,Paychecks!$B$2:$B$27,1),""))</f>
        <v/>
      </c>
    </row>
    <row r="4" customFormat="false" ht="15" hidden="false" customHeight="false" outlineLevel="0" collapsed="false">
      <c r="A4" s="6"/>
      <c r="B4" s="5"/>
      <c r="C4" s="5"/>
      <c r="D4" s="7"/>
      <c r="E4" s="9" t="str">
        <f aca="false">IF(A4="","",IFERROR(MATCH(A4,Paychecks!$B$2:$B$27,1),""))</f>
        <v/>
      </c>
    </row>
    <row r="5" customFormat="false" ht="15" hidden="false" customHeight="false" outlineLevel="0" collapsed="false">
      <c r="A5" s="6"/>
      <c r="B5" s="5"/>
      <c r="C5" s="5"/>
      <c r="D5" s="7"/>
      <c r="E5" s="9" t="str">
        <f aca="false">IF(A5="","",IFERROR(MATCH(A5,Paychecks!$B$2:$B$27,1),""))</f>
        <v/>
      </c>
    </row>
    <row r="6" customFormat="false" ht="15" hidden="false" customHeight="false" outlineLevel="0" collapsed="false">
      <c r="A6" s="6"/>
      <c r="B6" s="5"/>
      <c r="C6" s="5"/>
      <c r="D6" s="7"/>
      <c r="E6" s="9" t="str">
        <f aca="false">IF(A6="","",IFERROR(MATCH(A6,Paychecks!$B$2:$B$27,1),""))</f>
        <v/>
      </c>
    </row>
    <row r="7" customFormat="false" ht="15" hidden="false" customHeight="false" outlineLevel="0" collapsed="false">
      <c r="A7" s="6"/>
      <c r="B7" s="5"/>
      <c r="C7" s="5"/>
      <c r="D7" s="7"/>
      <c r="E7" s="9" t="str">
        <f aca="false">IF(A7="","",IFERROR(MATCH(A7,Paychecks!$B$2:$B$27,1),""))</f>
        <v/>
      </c>
    </row>
    <row r="8" customFormat="false" ht="15" hidden="false" customHeight="false" outlineLevel="0" collapsed="false">
      <c r="A8" s="6"/>
      <c r="B8" s="5"/>
      <c r="C8" s="5"/>
      <c r="D8" s="7"/>
      <c r="E8" s="9" t="str">
        <f aca="false">IF(A8="","",IFERROR(MATCH(A8,Paychecks!$B$2:$B$27,1),""))</f>
        <v/>
      </c>
    </row>
    <row r="9" customFormat="false" ht="15" hidden="false" customHeight="false" outlineLevel="0" collapsed="false">
      <c r="A9" s="6"/>
      <c r="B9" s="5"/>
      <c r="C9" s="5"/>
      <c r="D9" s="7"/>
      <c r="E9" s="9" t="str">
        <f aca="false">IF(A9="","",IFERROR(MATCH(A9,Paychecks!$B$2:$B$27,1),""))</f>
        <v/>
      </c>
    </row>
    <row r="10" customFormat="false" ht="15" hidden="false" customHeight="false" outlineLevel="0" collapsed="false">
      <c r="A10" s="6"/>
      <c r="B10" s="5"/>
      <c r="C10" s="5"/>
      <c r="D10" s="7"/>
      <c r="E10" s="9" t="str">
        <f aca="false">IF(A10="","",IFERROR(MATCH(A10,Paychecks!$B$2:$B$27,1),""))</f>
        <v/>
      </c>
    </row>
    <row r="11" customFormat="false" ht="15" hidden="false" customHeight="false" outlineLevel="0" collapsed="false">
      <c r="A11" s="6"/>
      <c r="B11" s="5"/>
      <c r="C11" s="5"/>
      <c r="D11" s="7"/>
      <c r="E11" s="9" t="str">
        <f aca="false">IF(A11="","",IFERROR(MATCH(A11,Paychecks!$B$2:$B$27,1),""))</f>
        <v/>
      </c>
    </row>
    <row r="12" customFormat="false" ht="15" hidden="false" customHeight="false" outlineLevel="0" collapsed="false">
      <c r="A12" s="6"/>
      <c r="B12" s="5"/>
      <c r="C12" s="5"/>
      <c r="D12" s="7"/>
      <c r="E12" s="9" t="str">
        <f aca="false">IF(A12="","",IFERROR(MATCH(A12,Paychecks!$B$2:$B$27,1),""))</f>
        <v/>
      </c>
    </row>
    <row r="13" customFormat="false" ht="15" hidden="false" customHeight="false" outlineLevel="0" collapsed="false">
      <c r="A13" s="6"/>
      <c r="B13" s="5"/>
      <c r="C13" s="5"/>
      <c r="D13" s="7"/>
      <c r="E13" s="9" t="str">
        <f aca="false">IF(A13="","",IFERROR(MATCH(A13,Paychecks!$B$2:$B$27,1),""))</f>
        <v/>
      </c>
    </row>
    <row r="14" customFormat="false" ht="15" hidden="false" customHeight="false" outlineLevel="0" collapsed="false">
      <c r="A14" s="6"/>
      <c r="B14" s="5"/>
      <c r="C14" s="5"/>
      <c r="D14" s="7"/>
      <c r="E14" s="9" t="str">
        <f aca="false">IF(A14="","",IFERROR(MATCH(A14,Paychecks!$B$2:$B$27,1),""))</f>
        <v/>
      </c>
    </row>
    <row r="15" customFormat="false" ht="15" hidden="false" customHeight="false" outlineLevel="0" collapsed="false">
      <c r="A15" s="6"/>
      <c r="B15" s="5"/>
      <c r="C15" s="5"/>
      <c r="D15" s="7"/>
      <c r="E15" s="9" t="str">
        <f aca="false">IF(A15="","",IFERROR(MATCH(A15,Paychecks!$B$2:$B$27,1),""))</f>
        <v/>
      </c>
    </row>
    <row r="16" customFormat="false" ht="15" hidden="false" customHeight="false" outlineLevel="0" collapsed="false">
      <c r="A16" s="6"/>
      <c r="B16" s="5"/>
      <c r="C16" s="5"/>
      <c r="D16" s="7"/>
      <c r="E16" s="9" t="str">
        <f aca="false">IF(A16="","",IFERROR(MATCH(A16,Paychecks!$B$2:$B$27,1),""))</f>
        <v/>
      </c>
    </row>
    <row r="17" customFormat="false" ht="15" hidden="false" customHeight="false" outlineLevel="0" collapsed="false">
      <c r="A17" s="6"/>
      <c r="B17" s="5"/>
      <c r="C17" s="5"/>
      <c r="D17" s="7"/>
      <c r="E17" s="9" t="str">
        <f aca="false">IF(A17="","",IFERROR(MATCH(A17,Paychecks!$B$2:$B$27,1),""))</f>
        <v/>
      </c>
    </row>
    <row r="18" customFormat="false" ht="15" hidden="false" customHeight="false" outlineLevel="0" collapsed="false">
      <c r="A18" s="6"/>
      <c r="B18" s="5"/>
      <c r="C18" s="5"/>
      <c r="D18" s="7"/>
      <c r="E18" s="9" t="str">
        <f aca="false">IF(A18="","",IFERROR(MATCH(A18,Paychecks!$B$2:$B$27,1),""))</f>
        <v/>
      </c>
    </row>
    <row r="19" customFormat="false" ht="15" hidden="false" customHeight="false" outlineLevel="0" collapsed="false">
      <c r="A19" s="6"/>
      <c r="B19" s="5"/>
      <c r="C19" s="5"/>
      <c r="D19" s="7"/>
      <c r="E19" s="9" t="str">
        <f aca="false">IF(A19="","",IFERROR(MATCH(A19,Paychecks!$B$2:$B$27,1),""))</f>
        <v/>
      </c>
    </row>
    <row r="20" customFormat="false" ht="15" hidden="false" customHeight="false" outlineLevel="0" collapsed="false">
      <c r="A20" s="6"/>
      <c r="B20" s="5"/>
      <c r="C20" s="5"/>
      <c r="D20" s="7"/>
      <c r="E20" s="9" t="str">
        <f aca="false">IF(A20="","",IFERROR(MATCH(A20,Paychecks!$B$2:$B$27,1),""))</f>
        <v/>
      </c>
    </row>
    <row r="21" customFormat="false" ht="15" hidden="false" customHeight="false" outlineLevel="0" collapsed="false">
      <c r="A21" s="6"/>
      <c r="B21" s="5"/>
      <c r="C21" s="5"/>
      <c r="D21" s="7"/>
      <c r="E21" s="9" t="str">
        <f aca="false">IF(A21="","",IFERROR(MATCH(A21,Paychecks!$B$2:$B$27,1),""))</f>
        <v/>
      </c>
    </row>
    <row r="22" customFormat="false" ht="15" hidden="false" customHeight="false" outlineLevel="0" collapsed="false">
      <c r="A22" s="6"/>
      <c r="B22" s="5"/>
      <c r="C22" s="5"/>
      <c r="D22" s="7"/>
      <c r="E22" s="9" t="str">
        <f aca="false">IF(A22="","",IFERROR(MATCH(A22,Paychecks!$B$2:$B$27,1),""))</f>
        <v/>
      </c>
    </row>
    <row r="23" customFormat="false" ht="15" hidden="false" customHeight="false" outlineLevel="0" collapsed="false">
      <c r="A23" s="6"/>
      <c r="B23" s="5"/>
      <c r="C23" s="5"/>
      <c r="D23" s="7"/>
      <c r="E23" s="9" t="str">
        <f aca="false">IF(A23="","",IFERROR(MATCH(A23,Paychecks!$B$2:$B$27,1),""))</f>
        <v/>
      </c>
    </row>
    <row r="24" customFormat="false" ht="15" hidden="false" customHeight="false" outlineLevel="0" collapsed="false">
      <c r="A24" s="6"/>
      <c r="B24" s="5"/>
      <c r="C24" s="5"/>
      <c r="D24" s="7"/>
      <c r="E24" s="9" t="str">
        <f aca="false">IF(A24="","",IFERROR(MATCH(A24,Paychecks!$B$2:$B$27,1),""))</f>
        <v/>
      </c>
    </row>
    <row r="25" customFormat="false" ht="15" hidden="false" customHeight="false" outlineLevel="0" collapsed="false">
      <c r="A25" s="6"/>
      <c r="B25" s="5"/>
      <c r="C25" s="5"/>
      <c r="D25" s="7"/>
      <c r="E25" s="9" t="str">
        <f aca="false">IF(A25="","",IFERROR(MATCH(A25,Paychecks!$B$2:$B$27,1),""))</f>
        <v/>
      </c>
    </row>
    <row r="26" customFormat="false" ht="15" hidden="false" customHeight="false" outlineLevel="0" collapsed="false">
      <c r="A26" s="6"/>
      <c r="B26" s="5"/>
      <c r="C26" s="5"/>
      <c r="D26" s="7"/>
      <c r="E26" s="9" t="str">
        <f aca="false">IF(A26="","",IFERROR(MATCH(A26,Paychecks!$B$2:$B$27,1),""))</f>
        <v/>
      </c>
    </row>
    <row r="27" customFormat="false" ht="15" hidden="false" customHeight="false" outlineLevel="0" collapsed="false">
      <c r="A27" s="6"/>
      <c r="B27" s="5"/>
      <c r="C27" s="5"/>
      <c r="D27" s="7"/>
      <c r="E27" s="9" t="str">
        <f aca="false">IF(A27="","",IFERROR(MATCH(A27,Paychecks!$B$2:$B$27,1),""))</f>
        <v/>
      </c>
    </row>
    <row r="28" customFormat="false" ht="15" hidden="false" customHeight="false" outlineLevel="0" collapsed="false">
      <c r="A28" s="6"/>
      <c r="B28" s="5"/>
      <c r="C28" s="5"/>
      <c r="D28" s="7"/>
      <c r="E28" s="9" t="str">
        <f aca="false">IF(A28="","",IFERROR(MATCH(A28,Paychecks!$B$2:$B$27,1),""))</f>
        <v/>
      </c>
    </row>
    <row r="29" customFormat="false" ht="15" hidden="false" customHeight="false" outlineLevel="0" collapsed="false">
      <c r="A29" s="6"/>
      <c r="B29" s="5"/>
      <c r="C29" s="5"/>
      <c r="D29" s="7"/>
      <c r="E29" s="9" t="str">
        <f aca="false">IF(A29="","",IFERROR(MATCH(A29,Paychecks!$B$2:$B$27,1),""))</f>
        <v/>
      </c>
    </row>
    <row r="30" customFormat="false" ht="15" hidden="false" customHeight="false" outlineLevel="0" collapsed="false">
      <c r="A30" s="6"/>
      <c r="B30" s="5"/>
      <c r="C30" s="5"/>
      <c r="D30" s="7"/>
      <c r="E30" s="9" t="str">
        <f aca="false">IF(A30="","",IFERROR(MATCH(A30,Paychecks!$B$2:$B$27,1),""))</f>
        <v/>
      </c>
    </row>
    <row r="31" customFormat="false" ht="15" hidden="false" customHeight="false" outlineLevel="0" collapsed="false">
      <c r="A31" s="6"/>
      <c r="B31" s="5"/>
      <c r="C31" s="5"/>
      <c r="D31" s="7"/>
      <c r="E31" s="9" t="str">
        <f aca="false">IF(A31="","",IFERROR(MATCH(A31,Paychecks!$B$2:$B$27,1),""))</f>
        <v/>
      </c>
    </row>
    <row r="32" customFormat="false" ht="15" hidden="false" customHeight="false" outlineLevel="0" collapsed="false">
      <c r="A32" s="6"/>
      <c r="B32" s="5"/>
      <c r="C32" s="5"/>
      <c r="D32" s="7"/>
      <c r="E32" s="9" t="str">
        <f aca="false">IF(A32="","",IFERROR(MATCH(A32,Paychecks!$B$2:$B$27,1),""))</f>
        <v/>
      </c>
    </row>
    <row r="33" customFormat="false" ht="15" hidden="false" customHeight="false" outlineLevel="0" collapsed="false">
      <c r="A33" s="6"/>
      <c r="B33" s="5"/>
      <c r="C33" s="5"/>
      <c r="D33" s="7"/>
      <c r="E33" s="9" t="str">
        <f aca="false">IF(A33="","",IFERROR(MATCH(A33,Paychecks!$B$2:$B$27,1),""))</f>
        <v/>
      </c>
    </row>
    <row r="34" customFormat="false" ht="15" hidden="false" customHeight="false" outlineLevel="0" collapsed="false">
      <c r="A34" s="6"/>
      <c r="B34" s="5"/>
      <c r="C34" s="5"/>
      <c r="D34" s="7"/>
      <c r="E34" s="9" t="str">
        <f aca="false">IF(A34="","",IFERROR(MATCH(A34,Paychecks!$B$2:$B$27,1),""))</f>
        <v/>
      </c>
    </row>
    <row r="35" customFormat="false" ht="15" hidden="false" customHeight="false" outlineLevel="0" collapsed="false">
      <c r="A35" s="6"/>
      <c r="B35" s="5"/>
      <c r="C35" s="5"/>
      <c r="D35" s="7"/>
      <c r="E35" s="9" t="str">
        <f aca="false">IF(A35="","",IFERROR(MATCH(A35,Paychecks!$B$2:$B$27,1),""))</f>
        <v/>
      </c>
    </row>
    <row r="36" customFormat="false" ht="15" hidden="false" customHeight="false" outlineLevel="0" collapsed="false">
      <c r="A36" s="6"/>
      <c r="B36" s="5"/>
      <c r="C36" s="5"/>
      <c r="D36" s="7"/>
      <c r="E36" s="9" t="str">
        <f aca="false">IF(A36="","",IFERROR(MATCH(A36,Paychecks!$B$2:$B$27,1),""))</f>
        <v/>
      </c>
    </row>
    <row r="37" customFormat="false" ht="15" hidden="false" customHeight="false" outlineLevel="0" collapsed="false">
      <c r="A37" s="6"/>
      <c r="B37" s="5"/>
      <c r="C37" s="5"/>
      <c r="D37" s="7"/>
      <c r="E37" s="9" t="str">
        <f aca="false">IF(A37="","",IFERROR(MATCH(A37,Paychecks!$B$2:$B$27,1),""))</f>
        <v/>
      </c>
    </row>
    <row r="38" customFormat="false" ht="15" hidden="false" customHeight="false" outlineLevel="0" collapsed="false">
      <c r="A38" s="6"/>
      <c r="B38" s="5"/>
      <c r="C38" s="5"/>
      <c r="D38" s="7"/>
      <c r="E38" s="9" t="str">
        <f aca="false">IF(A38="","",IFERROR(MATCH(A38,Paychecks!$B$2:$B$27,1),""))</f>
        <v/>
      </c>
    </row>
    <row r="39" customFormat="false" ht="15" hidden="false" customHeight="false" outlineLevel="0" collapsed="false">
      <c r="A39" s="6"/>
      <c r="B39" s="5"/>
      <c r="C39" s="5"/>
      <c r="D39" s="7"/>
      <c r="E39" s="9" t="str">
        <f aca="false">IF(A39="","",IFERROR(MATCH(A39,Paychecks!$B$2:$B$27,1),""))</f>
        <v/>
      </c>
    </row>
    <row r="40" customFormat="false" ht="15" hidden="false" customHeight="false" outlineLevel="0" collapsed="false">
      <c r="A40" s="6"/>
      <c r="B40" s="5"/>
      <c r="C40" s="5"/>
      <c r="D40" s="7"/>
      <c r="E40" s="9" t="str">
        <f aca="false">IF(A40="","",IFERROR(MATCH(A40,Paychecks!$B$2:$B$27,1),""))</f>
        <v/>
      </c>
    </row>
    <row r="41" customFormat="false" ht="15" hidden="false" customHeight="false" outlineLevel="0" collapsed="false">
      <c r="A41" s="6"/>
      <c r="B41" s="5"/>
      <c r="C41" s="5"/>
      <c r="D41" s="7"/>
      <c r="E41" s="9" t="str">
        <f aca="false">IF(A41="","",IFERROR(MATCH(A41,Paychecks!$B$2:$B$27,1),""))</f>
        <v/>
      </c>
    </row>
    <row r="42" customFormat="false" ht="15" hidden="false" customHeight="false" outlineLevel="0" collapsed="false">
      <c r="A42" s="6"/>
      <c r="B42" s="5"/>
      <c r="C42" s="5"/>
      <c r="D42" s="7"/>
      <c r="E42" s="9" t="str">
        <f aca="false">IF(A42="","",IFERROR(MATCH(A42,Paychecks!$B$2:$B$27,1),""))</f>
        <v/>
      </c>
    </row>
    <row r="43" customFormat="false" ht="15" hidden="false" customHeight="false" outlineLevel="0" collapsed="false">
      <c r="A43" s="6"/>
      <c r="B43" s="5"/>
      <c r="C43" s="5"/>
      <c r="D43" s="7"/>
      <c r="E43" s="9" t="str">
        <f aca="false">IF(A43="","",IFERROR(MATCH(A43,Paychecks!$B$2:$B$27,1),""))</f>
        <v/>
      </c>
    </row>
    <row r="44" customFormat="false" ht="15" hidden="false" customHeight="false" outlineLevel="0" collapsed="false">
      <c r="A44" s="6"/>
      <c r="B44" s="5"/>
      <c r="C44" s="5"/>
      <c r="D44" s="7"/>
      <c r="E44" s="9" t="str">
        <f aca="false">IF(A44="","",IFERROR(MATCH(A44,Paychecks!$B$2:$B$27,1),""))</f>
        <v/>
      </c>
    </row>
    <row r="45" customFormat="false" ht="15" hidden="false" customHeight="false" outlineLevel="0" collapsed="false">
      <c r="A45" s="6"/>
      <c r="B45" s="5"/>
      <c r="C45" s="5"/>
      <c r="D45" s="7"/>
      <c r="E45" s="9" t="str">
        <f aca="false">IF(A45="","",IFERROR(MATCH(A45,Paychecks!$B$2:$B$27,1),""))</f>
        <v/>
      </c>
    </row>
    <row r="46" customFormat="false" ht="15" hidden="false" customHeight="false" outlineLevel="0" collapsed="false">
      <c r="A46" s="6"/>
      <c r="B46" s="5"/>
      <c r="C46" s="5"/>
      <c r="D46" s="7"/>
      <c r="E46" s="9" t="str">
        <f aca="false">IF(A46="","",IFERROR(MATCH(A46,Paychecks!$B$2:$B$27,1),""))</f>
        <v/>
      </c>
    </row>
    <row r="47" customFormat="false" ht="15" hidden="false" customHeight="false" outlineLevel="0" collapsed="false">
      <c r="A47" s="6"/>
      <c r="B47" s="5"/>
      <c r="C47" s="5"/>
      <c r="D47" s="7"/>
      <c r="E47" s="9" t="str">
        <f aca="false">IF(A47="","",IFERROR(MATCH(A47,Paychecks!$B$2:$B$27,1),""))</f>
        <v/>
      </c>
    </row>
    <row r="48" customFormat="false" ht="15" hidden="false" customHeight="false" outlineLevel="0" collapsed="false">
      <c r="A48" s="6"/>
      <c r="B48" s="5"/>
      <c r="C48" s="5"/>
      <c r="D48" s="7"/>
      <c r="E48" s="9" t="str">
        <f aca="false">IF(A48="","",IFERROR(MATCH(A48,Paychecks!$B$2:$B$27,1),""))</f>
        <v/>
      </c>
    </row>
    <row r="49" customFormat="false" ht="15" hidden="false" customHeight="false" outlineLevel="0" collapsed="false">
      <c r="A49" s="6"/>
      <c r="B49" s="5"/>
      <c r="C49" s="5"/>
      <c r="D49" s="7"/>
      <c r="E49" s="9" t="str">
        <f aca="false">IF(A49="","",IFERROR(MATCH(A49,Paychecks!$B$2:$B$27,1),""))</f>
        <v/>
      </c>
    </row>
    <row r="50" customFormat="false" ht="15" hidden="false" customHeight="false" outlineLevel="0" collapsed="false">
      <c r="A50" s="6"/>
      <c r="B50" s="5"/>
      <c r="C50" s="5"/>
      <c r="D50" s="7"/>
      <c r="E50" s="9" t="str">
        <f aca="false">IF(A50="","",IFERROR(MATCH(A50,Paychecks!$B$2:$B$27,1),""))</f>
        <v/>
      </c>
    </row>
    <row r="51" customFormat="false" ht="15" hidden="false" customHeight="false" outlineLevel="0" collapsed="false">
      <c r="A51" s="6"/>
      <c r="B51" s="5"/>
      <c r="C51" s="5"/>
      <c r="D51" s="7"/>
      <c r="E51" s="9" t="str">
        <f aca="false">IF(A51="","",IFERROR(MATCH(A51,Paychecks!$B$2:$B$27,1),""))</f>
        <v/>
      </c>
    </row>
    <row r="52" customFormat="false" ht="15" hidden="false" customHeight="false" outlineLevel="0" collapsed="false">
      <c r="A52" s="6"/>
      <c r="B52" s="5"/>
      <c r="C52" s="5"/>
      <c r="D52" s="7"/>
      <c r="E52" s="9" t="str">
        <f aca="false">IF(A52="","",IFERROR(MATCH(A52,Paychecks!$B$2:$B$27,1),""))</f>
        <v/>
      </c>
    </row>
    <row r="53" customFormat="false" ht="15" hidden="false" customHeight="false" outlineLevel="0" collapsed="false">
      <c r="A53" s="6"/>
      <c r="B53" s="5"/>
      <c r="C53" s="5"/>
      <c r="D53" s="7"/>
      <c r="E53" s="9" t="str">
        <f aca="false">IF(A53="","",IFERROR(MATCH(A53,Paychecks!$B$2:$B$27,1),""))</f>
        <v/>
      </c>
    </row>
    <row r="54" customFormat="false" ht="15" hidden="false" customHeight="false" outlineLevel="0" collapsed="false">
      <c r="A54" s="6"/>
      <c r="B54" s="5"/>
      <c r="C54" s="5"/>
      <c r="D54" s="7"/>
      <c r="E54" s="9" t="str">
        <f aca="false">IF(A54="","",IFERROR(MATCH(A54,Paychecks!$B$2:$B$27,1),""))</f>
        <v/>
      </c>
    </row>
    <row r="55" customFormat="false" ht="15" hidden="false" customHeight="false" outlineLevel="0" collapsed="false">
      <c r="A55" s="6"/>
      <c r="B55" s="5"/>
      <c r="C55" s="5"/>
      <c r="D55" s="7"/>
      <c r="E55" s="9" t="str">
        <f aca="false">IF(A55="","",IFERROR(MATCH(A55,Paychecks!$B$2:$B$27,1),""))</f>
        <v/>
      </c>
    </row>
    <row r="56" customFormat="false" ht="15" hidden="false" customHeight="false" outlineLevel="0" collapsed="false">
      <c r="A56" s="6"/>
      <c r="B56" s="5"/>
      <c r="C56" s="5"/>
      <c r="D56" s="7"/>
      <c r="E56" s="9" t="str">
        <f aca="false">IF(A56="","",IFERROR(MATCH(A56,Paychecks!$B$2:$B$27,1),""))</f>
        <v/>
      </c>
    </row>
    <row r="57" customFormat="false" ht="15" hidden="false" customHeight="false" outlineLevel="0" collapsed="false">
      <c r="A57" s="6"/>
      <c r="B57" s="5"/>
      <c r="C57" s="5"/>
      <c r="D57" s="7"/>
      <c r="E57" s="9" t="str">
        <f aca="false">IF(A57="","",IFERROR(MATCH(A57,Paychecks!$B$2:$B$27,1),""))</f>
        <v/>
      </c>
    </row>
    <row r="58" customFormat="false" ht="15" hidden="false" customHeight="false" outlineLevel="0" collapsed="false">
      <c r="A58" s="6"/>
      <c r="B58" s="5"/>
      <c r="C58" s="5"/>
      <c r="D58" s="7"/>
      <c r="E58" s="9" t="str">
        <f aca="false">IF(A58="","",IFERROR(MATCH(A58,Paychecks!$B$2:$B$27,1),""))</f>
        <v/>
      </c>
    </row>
    <row r="59" customFormat="false" ht="15" hidden="false" customHeight="false" outlineLevel="0" collapsed="false">
      <c r="A59" s="6"/>
      <c r="B59" s="5"/>
      <c r="C59" s="5"/>
      <c r="D59" s="7"/>
      <c r="E59" s="9" t="str">
        <f aca="false">IF(A59="","",IFERROR(MATCH(A59,Paychecks!$B$2:$B$27,1),""))</f>
        <v/>
      </c>
    </row>
    <row r="60" customFormat="false" ht="15" hidden="false" customHeight="false" outlineLevel="0" collapsed="false">
      <c r="A60" s="6"/>
      <c r="B60" s="5"/>
      <c r="C60" s="5"/>
      <c r="D60" s="7"/>
      <c r="E60" s="9" t="str">
        <f aca="false">IF(A60="","",IFERROR(MATCH(A60,Paychecks!$B$2:$B$27,1),""))</f>
        <v/>
      </c>
    </row>
    <row r="61" customFormat="false" ht="15" hidden="false" customHeight="false" outlineLevel="0" collapsed="false">
      <c r="A61" s="6"/>
      <c r="B61" s="5"/>
      <c r="C61" s="5"/>
      <c r="D61" s="7"/>
      <c r="E61" s="9" t="str">
        <f aca="false">IF(A61="","",IFERROR(MATCH(A61,Paychecks!$B$2:$B$27,1),""))</f>
        <v/>
      </c>
    </row>
    <row r="62" customFormat="false" ht="15" hidden="false" customHeight="false" outlineLevel="0" collapsed="false">
      <c r="A62" s="6"/>
      <c r="B62" s="5"/>
      <c r="C62" s="5"/>
      <c r="D62" s="7"/>
      <c r="E62" s="9" t="str">
        <f aca="false">IF(A62="","",IFERROR(MATCH(A62,Paychecks!$B$2:$B$27,1),""))</f>
        <v/>
      </c>
    </row>
    <row r="63" customFormat="false" ht="15" hidden="false" customHeight="false" outlineLevel="0" collapsed="false">
      <c r="A63" s="6"/>
      <c r="B63" s="5"/>
      <c r="C63" s="5"/>
      <c r="D63" s="7"/>
      <c r="E63" s="9" t="str">
        <f aca="false">IF(A63="","",IFERROR(MATCH(A63,Paychecks!$B$2:$B$27,1),""))</f>
        <v/>
      </c>
    </row>
    <row r="64" customFormat="false" ht="15" hidden="false" customHeight="false" outlineLevel="0" collapsed="false">
      <c r="A64" s="6"/>
      <c r="B64" s="5"/>
      <c r="C64" s="5"/>
      <c r="D64" s="7"/>
      <c r="E64" s="9" t="str">
        <f aca="false">IF(A64="","",IFERROR(MATCH(A64,Paychecks!$B$2:$B$27,1),""))</f>
        <v/>
      </c>
    </row>
    <row r="65" customFormat="false" ht="15" hidden="false" customHeight="false" outlineLevel="0" collapsed="false">
      <c r="A65" s="6"/>
      <c r="B65" s="5"/>
      <c r="C65" s="5"/>
      <c r="D65" s="7"/>
      <c r="E65" s="9" t="str">
        <f aca="false">IF(A65="","",IFERROR(MATCH(A65,Paychecks!$B$2:$B$27,1),""))</f>
        <v/>
      </c>
    </row>
    <row r="66" customFormat="false" ht="15" hidden="false" customHeight="false" outlineLevel="0" collapsed="false">
      <c r="A66" s="6"/>
      <c r="B66" s="5"/>
      <c r="C66" s="5"/>
      <c r="D66" s="7"/>
      <c r="E66" s="9" t="str">
        <f aca="false">IF(A66="","",IFERROR(MATCH(A66,Paychecks!$B$2:$B$27,1),""))</f>
        <v/>
      </c>
    </row>
    <row r="67" customFormat="false" ht="15" hidden="false" customHeight="false" outlineLevel="0" collapsed="false">
      <c r="A67" s="6"/>
      <c r="B67" s="5"/>
      <c r="C67" s="5"/>
      <c r="D67" s="7"/>
      <c r="E67" s="9" t="str">
        <f aca="false">IF(A67="","",IFERROR(MATCH(A67,Paychecks!$B$2:$B$27,1),""))</f>
        <v/>
      </c>
    </row>
    <row r="68" customFormat="false" ht="15" hidden="false" customHeight="false" outlineLevel="0" collapsed="false">
      <c r="A68" s="6"/>
      <c r="B68" s="5"/>
      <c r="C68" s="5"/>
      <c r="D68" s="7"/>
      <c r="E68" s="9" t="str">
        <f aca="false">IF(A68="","",IFERROR(MATCH(A68,Paychecks!$B$2:$B$27,1),""))</f>
        <v/>
      </c>
    </row>
    <row r="69" customFormat="false" ht="15" hidden="false" customHeight="false" outlineLevel="0" collapsed="false">
      <c r="A69" s="6"/>
      <c r="B69" s="5"/>
      <c r="C69" s="5"/>
      <c r="D69" s="7"/>
      <c r="E69" s="9" t="str">
        <f aca="false">IF(A69="","",IFERROR(MATCH(A69,Paychecks!$B$2:$B$27,1),""))</f>
        <v/>
      </c>
    </row>
    <row r="70" customFormat="false" ht="15" hidden="false" customHeight="false" outlineLevel="0" collapsed="false">
      <c r="A70" s="6"/>
      <c r="B70" s="5"/>
      <c r="C70" s="5"/>
      <c r="D70" s="7"/>
      <c r="E70" s="9" t="str">
        <f aca="false">IF(A70="","",IFERROR(MATCH(A70,Paychecks!$B$2:$B$27,1),""))</f>
        <v/>
      </c>
    </row>
    <row r="71" customFormat="false" ht="15" hidden="false" customHeight="false" outlineLevel="0" collapsed="false">
      <c r="A71" s="6"/>
      <c r="B71" s="5"/>
      <c r="C71" s="5"/>
      <c r="D71" s="7"/>
      <c r="E71" s="9" t="str">
        <f aca="false">IF(A71="","",IFERROR(MATCH(A71,Paychecks!$B$2:$B$27,1),""))</f>
        <v/>
      </c>
    </row>
    <row r="72" customFormat="false" ht="15" hidden="false" customHeight="false" outlineLevel="0" collapsed="false">
      <c r="A72" s="6"/>
      <c r="B72" s="5"/>
      <c r="C72" s="5"/>
      <c r="D72" s="7"/>
      <c r="E72" s="9" t="str">
        <f aca="false">IF(A72="","",IFERROR(MATCH(A72,Paychecks!$B$2:$B$27,1),""))</f>
        <v/>
      </c>
    </row>
    <row r="73" customFormat="false" ht="15" hidden="false" customHeight="false" outlineLevel="0" collapsed="false">
      <c r="A73" s="6"/>
      <c r="B73" s="5"/>
      <c r="C73" s="5"/>
      <c r="D73" s="7"/>
      <c r="E73" s="9" t="str">
        <f aca="false">IF(A73="","",IFERROR(MATCH(A73,Paychecks!$B$2:$B$27,1),""))</f>
        <v/>
      </c>
    </row>
    <row r="74" customFormat="false" ht="15" hidden="false" customHeight="false" outlineLevel="0" collapsed="false">
      <c r="A74" s="6"/>
      <c r="B74" s="5"/>
      <c r="C74" s="5"/>
      <c r="D74" s="7"/>
      <c r="E74" s="9" t="str">
        <f aca="false">IF(A74="","",IFERROR(MATCH(A74,Paychecks!$B$2:$B$27,1),""))</f>
        <v/>
      </c>
    </row>
    <row r="75" customFormat="false" ht="15" hidden="false" customHeight="false" outlineLevel="0" collapsed="false">
      <c r="A75" s="6"/>
      <c r="B75" s="5"/>
      <c r="C75" s="5"/>
      <c r="D75" s="7"/>
      <c r="E75" s="9" t="str">
        <f aca="false">IF(A75="","",IFERROR(MATCH(A75,Paychecks!$B$2:$B$27,1),""))</f>
        <v/>
      </c>
    </row>
    <row r="76" customFormat="false" ht="15" hidden="false" customHeight="false" outlineLevel="0" collapsed="false">
      <c r="A76" s="6"/>
      <c r="B76" s="5"/>
      <c r="C76" s="5"/>
      <c r="D76" s="7"/>
      <c r="E76" s="9" t="str">
        <f aca="false">IF(A76="","",IFERROR(MATCH(A76,Paychecks!$B$2:$B$27,1),""))</f>
        <v/>
      </c>
    </row>
    <row r="77" customFormat="false" ht="15" hidden="false" customHeight="false" outlineLevel="0" collapsed="false">
      <c r="A77" s="6"/>
      <c r="B77" s="5"/>
      <c r="C77" s="5"/>
      <c r="D77" s="7"/>
      <c r="E77" s="9" t="str">
        <f aca="false">IF(A77="","",IFERROR(MATCH(A77,Paychecks!$B$2:$B$27,1),""))</f>
        <v/>
      </c>
    </row>
    <row r="78" customFormat="false" ht="15" hidden="false" customHeight="false" outlineLevel="0" collapsed="false">
      <c r="A78" s="6"/>
      <c r="B78" s="5"/>
      <c r="C78" s="5"/>
      <c r="D78" s="7"/>
      <c r="E78" s="9" t="str">
        <f aca="false">IF(A78="","",IFERROR(MATCH(A78,Paychecks!$B$2:$B$27,1),""))</f>
        <v/>
      </c>
    </row>
    <row r="79" customFormat="false" ht="15" hidden="false" customHeight="false" outlineLevel="0" collapsed="false">
      <c r="A79" s="6"/>
      <c r="B79" s="5"/>
      <c r="C79" s="5"/>
      <c r="D79" s="7"/>
      <c r="E79" s="9" t="str">
        <f aca="false">IF(A79="","",IFERROR(MATCH(A79,Paychecks!$B$2:$B$27,1),""))</f>
        <v/>
      </c>
    </row>
    <row r="80" customFormat="false" ht="15" hidden="false" customHeight="false" outlineLevel="0" collapsed="false">
      <c r="A80" s="6"/>
      <c r="B80" s="5"/>
      <c r="C80" s="5"/>
      <c r="D80" s="7"/>
      <c r="E80" s="9" t="str">
        <f aca="false">IF(A80="","",IFERROR(MATCH(A80,Paychecks!$B$2:$B$27,1),""))</f>
        <v/>
      </c>
    </row>
    <row r="81" customFormat="false" ht="15" hidden="false" customHeight="false" outlineLevel="0" collapsed="false">
      <c r="A81" s="6"/>
      <c r="B81" s="5"/>
      <c r="C81" s="5"/>
      <c r="D81" s="7"/>
      <c r="E81" s="9" t="str">
        <f aca="false">IF(A81="","",IFERROR(MATCH(A81,Paychecks!$B$2:$B$27,1),""))</f>
        <v/>
      </c>
    </row>
    <row r="82" customFormat="false" ht="15" hidden="false" customHeight="false" outlineLevel="0" collapsed="false">
      <c r="A82" s="6"/>
      <c r="B82" s="5"/>
      <c r="C82" s="5"/>
      <c r="D82" s="7"/>
      <c r="E82" s="9" t="str">
        <f aca="false">IF(A82="","",IFERROR(MATCH(A82,Paychecks!$B$2:$B$27,1),""))</f>
        <v/>
      </c>
    </row>
    <row r="83" customFormat="false" ht="15" hidden="false" customHeight="false" outlineLevel="0" collapsed="false">
      <c r="A83" s="6"/>
      <c r="B83" s="5"/>
      <c r="C83" s="5"/>
      <c r="D83" s="7"/>
      <c r="E83" s="9" t="str">
        <f aca="false">IF(A83="","",IFERROR(MATCH(A83,Paychecks!$B$2:$B$27,1),""))</f>
        <v/>
      </c>
    </row>
    <row r="84" customFormat="false" ht="15" hidden="false" customHeight="false" outlineLevel="0" collapsed="false">
      <c r="A84" s="6"/>
      <c r="B84" s="5"/>
      <c r="C84" s="5"/>
      <c r="D84" s="7"/>
      <c r="E84" s="9" t="str">
        <f aca="false">IF(A84="","",IFERROR(MATCH(A84,Paychecks!$B$2:$B$27,1),""))</f>
        <v/>
      </c>
    </row>
    <row r="85" customFormat="false" ht="15" hidden="false" customHeight="false" outlineLevel="0" collapsed="false">
      <c r="A85" s="6"/>
      <c r="B85" s="5"/>
      <c r="C85" s="5"/>
      <c r="D85" s="7"/>
      <c r="E85" s="9" t="str">
        <f aca="false">IF(A85="","",IFERROR(MATCH(A85,Paychecks!$B$2:$B$27,1),""))</f>
        <v/>
      </c>
    </row>
    <row r="86" customFormat="false" ht="15" hidden="false" customHeight="false" outlineLevel="0" collapsed="false">
      <c r="A86" s="6"/>
      <c r="B86" s="5"/>
      <c r="C86" s="5"/>
      <c r="D86" s="7"/>
      <c r="E86" s="9" t="str">
        <f aca="false">IF(A86="","",IFERROR(MATCH(A86,Paychecks!$B$2:$B$27,1),""))</f>
        <v/>
      </c>
    </row>
    <row r="87" customFormat="false" ht="15" hidden="false" customHeight="false" outlineLevel="0" collapsed="false">
      <c r="A87" s="6"/>
      <c r="B87" s="5"/>
      <c r="C87" s="5"/>
      <c r="D87" s="7"/>
      <c r="E87" s="9" t="str">
        <f aca="false">IF(A87="","",IFERROR(MATCH(A87,Paychecks!$B$2:$B$27,1),""))</f>
        <v/>
      </c>
    </row>
    <row r="88" customFormat="false" ht="15" hidden="false" customHeight="false" outlineLevel="0" collapsed="false">
      <c r="A88" s="6"/>
      <c r="B88" s="5"/>
      <c r="C88" s="5"/>
      <c r="D88" s="7"/>
      <c r="E88" s="9" t="str">
        <f aca="false">IF(A88="","",IFERROR(MATCH(A88,Paychecks!$B$2:$B$27,1),""))</f>
        <v/>
      </c>
    </row>
    <row r="89" customFormat="false" ht="15" hidden="false" customHeight="false" outlineLevel="0" collapsed="false">
      <c r="A89" s="6"/>
      <c r="B89" s="5"/>
      <c r="C89" s="5"/>
      <c r="D89" s="7"/>
      <c r="E89" s="9" t="str">
        <f aca="false">IF(A89="","",IFERROR(MATCH(A89,Paychecks!$B$2:$B$27,1),""))</f>
        <v/>
      </c>
    </row>
    <row r="90" customFormat="false" ht="15" hidden="false" customHeight="false" outlineLevel="0" collapsed="false">
      <c r="A90" s="6"/>
      <c r="B90" s="5"/>
      <c r="C90" s="5"/>
      <c r="D90" s="7"/>
      <c r="E90" s="9" t="str">
        <f aca="false">IF(A90="","",IFERROR(MATCH(A90,Paychecks!$B$2:$B$27,1),""))</f>
        <v/>
      </c>
    </row>
    <row r="91" customFormat="false" ht="15" hidden="false" customHeight="false" outlineLevel="0" collapsed="false">
      <c r="A91" s="6"/>
      <c r="B91" s="5"/>
      <c r="C91" s="5"/>
      <c r="D91" s="7"/>
      <c r="E91" s="9" t="str">
        <f aca="false">IF(A91="","",IFERROR(MATCH(A91,Paychecks!$B$2:$B$27,1),""))</f>
        <v/>
      </c>
    </row>
    <row r="92" customFormat="false" ht="15" hidden="false" customHeight="false" outlineLevel="0" collapsed="false">
      <c r="A92" s="6"/>
      <c r="B92" s="5"/>
      <c r="C92" s="5"/>
      <c r="D92" s="7"/>
      <c r="E92" s="9" t="str">
        <f aca="false">IF(A92="","",IFERROR(MATCH(A92,Paychecks!$B$2:$B$27,1),""))</f>
        <v/>
      </c>
    </row>
    <row r="93" customFormat="false" ht="15" hidden="false" customHeight="false" outlineLevel="0" collapsed="false">
      <c r="A93" s="6"/>
      <c r="B93" s="5"/>
      <c r="C93" s="5"/>
      <c r="D93" s="7"/>
      <c r="E93" s="9" t="str">
        <f aca="false">IF(A93="","",IFERROR(MATCH(A93,Paychecks!$B$2:$B$27,1),""))</f>
        <v/>
      </c>
    </row>
    <row r="94" customFormat="false" ht="15" hidden="false" customHeight="false" outlineLevel="0" collapsed="false">
      <c r="A94" s="6"/>
      <c r="B94" s="5"/>
      <c r="C94" s="5"/>
      <c r="D94" s="7"/>
      <c r="E94" s="9" t="str">
        <f aca="false">IF(A94="","",IFERROR(MATCH(A94,Paychecks!$B$2:$B$27,1),""))</f>
        <v/>
      </c>
    </row>
    <row r="95" customFormat="false" ht="15" hidden="false" customHeight="false" outlineLevel="0" collapsed="false">
      <c r="A95" s="6"/>
      <c r="B95" s="5"/>
      <c r="C95" s="5"/>
      <c r="D95" s="7"/>
      <c r="E95" s="9" t="str">
        <f aca="false">IF(A95="","",IFERROR(MATCH(A95,Paychecks!$B$2:$B$27,1),""))</f>
        <v/>
      </c>
    </row>
    <row r="96" customFormat="false" ht="15" hidden="false" customHeight="false" outlineLevel="0" collapsed="false">
      <c r="A96" s="6"/>
      <c r="B96" s="5"/>
      <c r="C96" s="5"/>
      <c r="D96" s="7"/>
      <c r="E96" s="9" t="str">
        <f aca="false">IF(A96="","",IFERROR(MATCH(A96,Paychecks!$B$2:$B$27,1),""))</f>
        <v/>
      </c>
    </row>
    <row r="97" customFormat="false" ht="15" hidden="false" customHeight="false" outlineLevel="0" collapsed="false">
      <c r="A97" s="6"/>
      <c r="B97" s="5"/>
      <c r="C97" s="5"/>
      <c r="D97" s="7"/>
      <c r="E97" s="9" t="str">
        <f aca="false">IF(A97="","",IFERROR(MATCH(A97,Paychecks!$B$2:$B$27,1),""))</f>
        <v/>
      </c>
    </row>
    <row r="98" customFormat="false" ht="15" hidden="false" customHeight="false" outlineLevel="0" collapsed="false">
      <c r="A98" s="6"/>
      <c r="B98" s="5"/>
      <c r="C98" s="5"/>
      <c r="D98" s="7"/>
      <c r="E98" s="9" t="str">
        <f aca="false">IF(A98="","",IFERROR(MATCH(A98,Paychecks!$B$2:$B$27,1),""))</f>
        <v/>
      </c>
    </row>
    <row r="99" customFormat="false" ht="15" hidden="false" customHeight="false" outlineLevel="0" collapsed="false">
      <c r="A99" s="6"/>
      <c r="B99" s="5"/>
      <c r="C99" s="5"/>
      <c r="D99" s="7"/>
      <c r="E99" s="9" t="str">
        <f aca="false">IF(A99="","",IFERROR(MATCH(A99,Paychecks!$B$2:$B$27,1),""))</f>
        <v/>
      </c>
    </row>
    <row r="100" customFormat="false" ht="15" hidden="false" customHeight="false" outlineLevel="0" collapsed="false">
      <c r="A100" s="6"/>
      <c r="B100" s="5"/>
      <c r="C100" s="5"/>
      <c r="D100" s="7"/>
      <c r="E100" s="9" t="str">
        <f aca="false">IF(A100="","",IFERROR(MATCH(A100,Paychecks!$B$2:$B$27,1),""))</f>
        <v/>
      </c>
    </row>
    <row r="101" customFormat="false" ht="15" hidden="false" customHeight="false" outlineLevel="0" collapsed="false">
      <c r="A101" s="6"/>
      <c r="B101" s="5"/>
      <c r="C101" s="5"/>
      <c r="D101" s="7"/>
      <c r="E101" s="9" t="str">
        <f aca="false">IF(A101="","",IFERROR(MATCH(A101,Paychecks!$B$2:$B$27,1),""))</f>
        <v/>
      </c>
    </row>
    <row r="102" customFormat="false" ht="15" hidden="false" customHeight="false" outlineLevel="0" collapsed="false">
      <c r="A102" s="6"/>
      <c r="B102" s="5"/>
      <c r="C102" s="5"/>
      <c r="D102" s="7"/>
      <c r="E102" s="9" t="str">
        <f aca="false">IF(A102="","",IFERROR(MATCH(A102,Paychecks!$B$2:$B$27,1),""))</f>
        <v/>
      </c>
    </row>
    <row r="103" customFormat="false" ht="15" hidden="false" customHeight="false" outlineLevel="0" collapsed="false">
      <c r="A103" s="6"/>
      <c r="B103" s="5"/>
      <c r="C103" s="5"/>
      <c r="D103" s="7"/>
      <c r="E103" s="9" t="str">
        <f aca="false">IF(A103="","",IFERROR(MATCH(A103,Paychecks!$B$2:$B$27,1),""))</f>
        <v/>
      </c>
    </row>
    <row r="104" customFormat="false" ht="15" hidden="false" customHeight="false" outlineLevel="0" collapsed="false">
      <c r="A104" s="6"/>
      <c r="B104" s="5"/>
      <c r="C104" s="5"/>
      <c r="D104" s="7"/>
      <c r="E104" s="9" t="str">
        <f aca="false">IF(A104="","",IFERROR(MATCH(A104,Paychecks!$B$2:$B$27,1),""))</f>
        <v/>
      </c>
    </row>
    <row r="105" customFormat="false" ht="15" hidden="false" customHeight="false" outlineLevel="0" collapsed="false">
      <c r="A105" s="6"/>
      <c r="B105" s="5"/>
      <c r="C105" s="5"/>
      <c r="D105" s="7"/>
      <c r="E105" s="9" t="str">
        <f aca="false">IF(A105="","",IFERROR(MATCH(A105,Paychecks!$B$2:$B$27,1),""))</f>
        <v/>
      </c>
    </row>
    <row r="106" customFormat="false" ht="15" hidden="false" customHeight="false" outlineLevel="0" collapsed="false">
      <c r="A106" s="6"/>
      <c r="B106" s="5"/>
      <c r="C106" s="5"/>
      <c r="D106" s="7"/>
      <c r="E106" s="9" t="str">
        <f aca="false">IF(A106="","",IFERROR(MATCH(A106,Paychecks!$B$2:$B$27,1),""))</f>
        <v/>
      </c>
    </row>
    <row r="107" customFormat="false" ht="15" hidden="false" customHeight="false" outlineLevel="0" collapsed="false">
      <c r="A107" s="6"/>
      <c r="B107" s="5"/>
      <c r="C107" s="5"/>
      <c r="D107" s="7"/>
      <c r="E107" s="9" t="str">
        <f aca="false">IF(A107="","",IFERROR(MATCH(A107,Paychecks!$B$2:$B$27,1),""))</f>
        <v/>
      </c>
    </row>
    <row r="108" customFormat="false" ht="15" hidden="false" customHeight="false" outlineLevel="0" collapsed="false">
      <c r="A108" s="6"/>
      <c r="B108" s="5"/>
      <c r="C108" s="5"/>
      <c r="D108" s="7"/>
      <c r="E108" s="9" t="str">
        <f aca="false">IF(A108="","",IFERROR(MATCH(A108,Paychecks!$B$2:$B$27,1),""))</f>
        <v/>
      </c>
    </row>
    <row r="109" customFormat="false" ht="15" hidden="false" customHeight="false" outlineLevel="0" collapsed="false">
      <c r="A109" s="6"/>
      <c r="B109" s="5"/>
      <c r="C109" s="5"/>
      <c r="D109" s="7"/>
      <c r="E109" s="9" t="str">
        <f aca="false">IF(A109="","",IFERROR(MATCH(A109,Paychecks!$B$2:$B$27,1),""))</f>
        <v/>
      </c>
    </row>
    <row r="110" customFormat="false" ht="15" hidden="false" customHeight="false" outlineLevel="0" collapsed="false">
      <c r="A110" s="6"/>
      <c r="B110" s="5"/>
      <c r="C110" s="5"/>
      <c r="D110" s="7"/>
      <c r="E110" s="9" t="str">
        <f aca="false">IF(A110="","",IFERROR(MATCH(A110,Paychecks!$B$2:$B$27,1),""))</f>
        <v/>
      </c>
    </row>
    <row r="111" customFormat="false" ht="15" hidden="false" customHeight="false" outlineLevel="0" collapsed="false">
      <c r="A111" s="6"/>
      <c r="B111" s="5"/>
      <c r="C111" s="5"/>
      <c r="D111" s="7"/>
      <c r="E111" s="9" t="str">
        <f aca="false">IF(A111="","",IFERROR(MATCH(A111,Paychecks!$B$2:$B$27,1),""))</f>
        <v/>
      </c>
    </row>
    <row r="112" customFormat="false" ht="15" hidden="false" customHeight="false" outlineLevel="0" collapsed="false">
      <c r="A112" s="6"/>
      <c r="B112" s="5"/>
      <c r="C112" s="5"/>
      <c r="D112" s="7"/>
      <c r="E112" s="9" t="str">
        <f aca="false">IF(A112="","",IFERROR(MATCH(A112,Paychecks!$B$2:$B$27,1),""))</f>
        <v/>
      </c>
    </row>
    <row r="113" customFormat="false" ht="15" hidden="false" customHeight="false" outlineLevel="0" collapsed="false">
      <c r="A113" s="6"/>
      <c r="B113" s="5"/>
      <c r="C113" s="5"/>
      <c r="D113" s="7"/>
      <c r="E113" s="9" t="str">
        <f aca="false">IF(A113="","",IFERROR(MATCH(A113,Paychecks!$B$2:$B$27,1),""))</f>
        <v/>
      </c>
    </row>
    <row r="114" customFormat="false" ht="15" hidden="false" customHeight="false" outlineLevel="0" collapsed="false">
      <c r="A114" s="6"/>
      <c r="B114" s="5"/>
      <c r="C114" s="5"/>
      <c r="D114" s="7"/>
      <c r="E114" s="9" t="str">
        <f aca="false">IF(A114="","",IFERROR(MATCH(A114,Paychecks!$B$2:$B$27,1),""))</f>
        <v/>
      </c>
    </row>
    <row r="115" customFormat="false" ht="15" hidden="false" customHeight="false" outlineLevel="0" collapsed="false">
      <c r="A115" s="6"/>
      <c r="B115" s="5"/>
      <c r="C115" s="5"/>
      <c r="D115" s="7"/>
      <c r="E115" s="9" t="str">
        <f aca="false">IF(A115="","",IFERROR(MATCH(A115,Paychecks!$B$2:$B$27,1),""))</f>
        <v/>
      </c>
    </row>
    <row r="116" customFormat="false" ht="15" hidden="false" customHeight="false" outlineLevel="0" collapsed="false">
      <c r="A116" s="6"/>
      <c r="B116" s="5"/>
      <c r="C116" s="5"/>
      <c r="D116" s="7"/>
      <c r="E116" s="9" t="str">
        <f aca="false">IF(A116="","",IFERROR(MATCH(A116,Paychecks!$B$2:$B$27,1),""))</f>
        <v/>
      </c>
    </row>
    <row r="117" customFormat="false" ht="15" hidden="false" customHeight="false" outlineLevel="0" collapsed="false">
      <c r="A117" s="6"/>
      <c r="B117" s="5"/>
      <c r="C117" s="5"/>
      <c r="D117" s="7"/>
      <c r="E117" s="9" t="str">
        <f aca="false">IF(A117="","",IFERROR(MATCH(A117,Paychecks!$B$2:$B$27,1),""))</f>
        <v/>
      </c>
    </row>
    <row r="118" customFormat="false" ht="15" hidden="false" customHeight="false" outlineLevel="0" collapsed="false">
      <c r="A118" s="6"/>
      <c r="B118" s="5"/>
      <c r="C118" s="5"/>
      <c r="D118" s="7"/>
      <c r="E118" s="9" t="str">
        <f aca="false">IF(A118="","",IFERROR(MATCH(A118,Paychecks!$B$2:$B$27,1),""))</f>
        <v/>
      </c>
    </row>
    <row r="119" customFormat="false" ht="15" hidden="false" customHeight="false" outlineLevel="0" collapsed="false">
      <c r="A119" s="6"/>
      <c r="B119" s="5"/>
      <c r="C119" s="5"/>
      <c r="D119" s="7"/>
      <c r="E119" s="9" t="str">
        <f aca="false">IF(A119="","",IFERROR(MATCH(A119,Paychecks!$B$2:$B$27,1),""))</f>
        <v/>
      </c>
    </row>
    <row r="120" customFormat="false" ht="15" hidden="false" customHeight="false" outlineLevel="0" collapsed="false">
      <c r="A120" s="6"/>
      <c r="B120" s="5"/>
      <c r="C120" s="5"/>
      <c r="D120" s="7"/>
      <c r="E120" s="9" t="str">
        <f aca="false">IF(A120="","",IFERROR(MATCH(A120,Paychecks!$B$2:$B$27,1),""))</f>
        <v/>
      </c>
    </row>
    <row r="121" customFormat="false" ht="15" hidden="false" customHeight="false" outlineLevel="0" collapsed="false">
      <c r="A121" s="6"/>
      <c r="B121" s="5"/>
      <c r="C121" s="5"/>
      <c r="D121" s="7"/>
      <c r="E121" s="9" t="str">
        <f aca="false">IF(A121="","",IFERROR(MATCH(A121,Paychecks!$B$2:$B$27,1),""))</f>
        <v/>
      </c>
    </row>
    <row r="122" customFormat="false" ht="15" hidden="false" customHeight="false" outlineLevel="0" collapsed="false">
      <c r="A122" s="6"/>
      <c r="B122" s="5"/>
      <c r="C122" s="5"/>
      <c r="D122" s="7"/>
      <c r="E122" s="9" t="str">
        <f aca="false">IF(A122="","",IFERROR(MATCH(A122,Paychecks!$B$2:$B$27,1),""))</f>
        <v/>
      </c>
    </row>
    <row r="123" customFormat="false" ht="15" hidden="false" customHeight="false" outlineLevel="0" collapsed="false">
      <c r="A123" s="6"/>
      <c r="B123" s="5"/>
      <c r="C123" s="5"/>
      <c r="D123" s="7"/>
      <c r="E123" s="9" t="str">
        <f aca="false">IF(A123="","",IFERROR(MATCH(A123,Paychecks!$B$2:$B$27,1),""))</f>
        <v/>
      </c>
    </row>
    <row r="124" customFormat="false" ht="15" hidden="false" customHeight="false" outlineLevel="0" collapsed="false">
      <c r="A124" s="6"/>
      <c r="B124" s="5"/>
      <c r="C124" s="5"/>
      <c r="D124" s="7"/>
      <c r="E124" s="9" t="str">
        <f aca="false">IF(A124="","",IFERROR(MATCH(A124,Paychecks!$B$2:$B$27,1),""))</f>
        <v/>
      </c>
    </row>
    <row r="125" customFormat="false" ht="15" hidden="false" customHeight="false" outlineLevel="0" collapsed="false">
      <c r="A125" s="6"/>
      <c r="B125" s="5"/>
      <c r="C125" s="5"/>
      <c r="D125" s="7"/>
      <c r="E125" s="9" t="str">
        <f aca="false">IF(A125="","",IFERROR(MATCH(A125,Paychecks!$B$2:$B$27,1),""))</f>
        <v/>
      </c>
    </row>
    <row r="126" customFormat="false" ht="15" hidden="false" customHeight="false" outlineLevel="0" collapsed="false">
      <c r="A126" s="6"/>
      <c r="B126" s="5"/>
      <c r="C126" s="5"/>
      <c r="D126" s="7"/>
      <c r="E126" s="9" t="str">
        <f aca="false">IF(A126="","",IFERROR(MATCH(A126,Paychecks!$B$2:$B$27,1),""))</f>
        <v/>
      </c>
    </row>
    <row r="127" customFormat="false" ht="15" hidden="false" customHeight="false" outlineLevel="0" collapsed="false">
      <c r="A127" s="6"/>
      <c r="B127" s="5"/>
      <c r="C127" s="5"/>
      <c r="D127" s="7"/>
      <c r="E127" s="9" t="str">
        <f aca="false">IF(A127="","",IFERROR(MATCH(A127,Paychecks!$B$2:$B$27,1),""))</f>
        <v/>
      </c>
    </row>
    <row r="128" customFormat="false" ht="15" hidden="false" customHeight="false" outlineLevel="0" collapsed="false">
      <c r="A128" s="6"/>
      <c r="B128" s="5"/>
      <c r="C128" s="5"/>
      <c r="D128" s="7"/>
      <c r="E128" s="9" t="str">
        <f aca="false">IF(A128="","",IFERROR(MATCH(A128,Paychecks!$B$2:$B$27,1),""))</f>
        <v/>
      </c>
    </row>
    <row r="129" customFormat="false" ht="15" hidden="false" customHeight="false" outlineLevel="0" collapsed="false">
      <c r="A129" s="6"/>
      <c r="B129" s="5"/>
      <c r="C129" s="5"/>
      <c r="D129" s="7"/>
      <c r="E129" s="9" t="str">
        <f aca="false">IF(A129="","",IFERROR(MATCH(A129,Paychecks!$B$2:$B$27,1),""))</f>
        <v/>
      </c>
    </row>
    <row r="130" customFormat="false" ht="15" hidden="false" customHeight="false" outlineLevel="0" collapsed="false">
      <c r="A130" s="6"/>
      <c r="B130" s="5"/>
      <c r="C130" s="5"/>
      <c r="D130" s="7"/>
      <c r="E130" s="9" t="str">
        <f aca="false">IF(A130="","",IFERROR(MATCH(A130,Paychecks!$B$2:$B$27,1),""))</f>
        <v/>
      </c>
    </row>
    <row r="131" customFormat="false" ht="15" hidden="false" customHeight="false" outlineLevel="0" collapsed="false">
      <c r="A131" s="6"/>
      <c r="B131" s="5"/>
      <c r="C131" s="5"/>
      <c r="D131" s="7"/>
      <c r="E131" s="9" t="str">
        <f aca="false">IF(A131="","",IFERROR(MATCH(A131,Paychecks!$B$2:$B$27,1),""))</f>
        <v/>
      </c>
    </row>
    <row r="132" customFormat="false" ht="15" hidden="false" customHeight="false" outlineLevel="0" collapsed="false">
      <c r="A132" s="6"/>
      <c r="B132" s="5"/>
      <c r="C132" s="5"/>
      <c r="D132" s="7"/>
      <c r="E132" s="9" t="str">
        <f aca="false">IF(A132="","",IFERROR(MATCH(A132,Paychecks!$B$2:$B$27,1),""))</f>
        <v/>
      </c>
    </row>
    <row r="133" customFormat="false" ht="15" hidden="false" customHeight="false" outlineLevel="0" collapsed="false">
      <c r="A133" s="6"/>
      <c r="B133" s="5"/>
      <c r="C133" s="5"/>
      <c r="D133" s="7"/>
      <c r="E133" s="9" t="str">
        <f aca="false">IF(A133="","",IFERROR(MATCH(A133,Paychecks!$B$2:$B$27,1),""))</f>
        <v/>
      </c>
    </row>
    <row r="134" customFormat="false" ht="15" hidden="false" customHeight="false" outlineLevel="0" collapsed="false">
      <c r="A134" s="6"/>
      <c r="B134" s="5"/>
      <c r="C134" s="5"/>
      <c r="D134" s="7"/>
      <c r="E134" s="9" t="str">
        <f aca="false">IF(A134="","",IFERROR(MATCH(A134,Paychecks!$B$2:$B$27,1),""))</f>
        <v/>
      </c>
    </row>
    <row r="135" customFormat="false" ht="15" hidden="false" customHeight="false" outlineLevel="0" collapsed="false">
      <c r="A135" s="6"/>
      <c r="B135" s="5"/>
      <c r="C135" s="5"/>
      <c r="D135" s="7"/>
      <c r="E135" s="9" t="str">
        <f aca="false">IF(A135="","",IFERROR(MATCH(A135,Paychecks!$B$2:$B$27,1),""))</f>
        <v/>
      </c>
    </row>
    <row r="136" customFormat="false" ht="15" hidden="false" customHeight="false" outlineLevel="0" collapsed="false">
      <c r="A136" s="6"/>
      <c r="B136" s="5"/>
      <c r="C136" s="5"/>
      <c r="D136" s="7"/>
      <c r="E136" s="9" t="str">
        <f aca="false">IF(A136="","",IFERROR(MATCH(A136,Paychecks!$B$2:$B$27,1),""))</f>
        <v/>
      </c>
    </row>
    <row r="137" customFormat="false" ht="15" hidden="false" customHeight="false" outlineLevel="0" collapsed="false">
      <c r="A137" s="6"/>
      <c r="B137" s="5"/>
      <c r="C137" s="5"/>
      <c r="D137" s="7"/>
      <c r="E137" s="9" t="str">
        <f aca="false">IF(A137="","",IFERROR(MATCH(A137,Paychecks!$B$2:$B$27,1),""))</f>
        <v/>
      </c>
    </row>
    <row r="138" customFormat="false" ht="15" hidden="false" customHeight="false" outlineLevel="0" collapsed="false">
      <c r="A138" s="6"/>
      <c r="B138" s="5"/>
      <c r="C138" s="5"/>
      <c r="D138" s="7"/>
      <c r="E138" s="9" t="str">
        <f aca="false">IF(A138="","",IFERROR(MATCH(A138,Paychecks!$B$2:$B$27,1),""))</f>
        <v/>
      </c>
    </row>
    <row r="139" customFormat="false" ht="15" hidden="false" customHeight="false" outlineLevel="0" collapsed="false">
      <c r="A139" s="6"/>
      <c r="B139" s="5"/>
      <c r="C139" s="5"/>
      <c r="D139" s="7"/>
      <c r="E139" s="9" t="str">
        <f aca="false">IF(A139="","",IFERROR(MATCH(A139,Paychecks!$B$2:$B$27,1),""))</f>
        <v/>
      </c>
    </row>
    <row r="140" customFormat="false" ht="15" hidden="false" customHeight="false" outlineLevel="0" collapsed="false">
      <c r="A140" s="6"/>
      <c r="B140" s="5"/>
      <c r="C140" s="5"/>
      <c r="D140" s="7"/>
      <c r="E140" s="9" t="str">
        <f aca="false">IF(A140="","",IFERROR(MATCH(A140,Paychecks!$B$2:$B$27,1),""))</f>
        <v/>
      </c>
    </row>
    <row r="141" customFormat="false" ht="15" hidden="false" customHeight="false" outlineLevel="0" collapsed="false">
      <c r="A141" s="6"/>
      <c r="B141" s="5"/>
      <c r="C141" s="5"/>
      <c r="D141" s="7"/>
      <c r="E141" s="9" t="str">
        <f aca="false">IF(A141="","",IFERROR(MATCH(A141,Paychecks!$B$2:$B$27,1),""))</f>
        <v/>
      </c>
    </row>
    <row r="142" customFormat="false" ht="15" hidden="false" customHeight="false" outlineLevel="0" collapsed="false">
      <c r="A142" s="6"/>
      <c r="B142" s="5"/>
      <c r="C142" s="5"/>
      <c r="D142" s="7"/>
      <c r="E142" s="9" t="str">
        <f aca="false">IF(A142="","",IFERROR(MATCH(A142,Paychecks!$B$2:$B$27,1),""))</f>
        <v/>
      </c>
    </row>
    <row r="143" customFormat="false" ht="15" hidden="false" customHeight="false" outlineLevel="0" collapsed="false">
      <c r="A143" s="6"/>
      <c r="B143" s="5"/>
      <c r="C143" s="5"/>
      <c r="D143" s="7"/>
      <c r="E143" s="9" t="str">
        <f aca="false">IF(A143="","",IFERROR(MATCH(A143,Paychecks!$B$2:$B$27,1),""))</f>
        <v/>
      </c>
    </row>
    <row r="144" customFormat="false" ht="15" hidden="false" customHeight="false" outlineLevel="0" collapsed="false">
      <c r="A144" s="6"/>
      <c r="B144" s="5"/>
      <c r="C144" s="5"/>
      <c r="D144" s="7"/>
      <c r="E144" s="9" t="str">
        <f aca="false">IF(A144="","",IFERROR(MATCH(A144,Paychecks!$B$2:$B$27,1),""))</f>
        <v/>
      </c>
    </row>
    <row r="145" customFormat="false" ht="15" hidden="false" customHeight="false" outlineLevel="0" collapsed="false">
      <c r="A145" s="6"/>
      <c r="B145" s="5"/>
      <c r="C145" s="5"/>
      <c r="D145" s="7"/>
      <c r="E145" s="9" t="str">
        <f aca="false">IF(A145="","",IFERROR(MATCH(A145,Paychecks!$B$2:$B$27,1),""))</f>
        <v/>
      </c>
    </row>
    <row r="146" customFormat="false" ht="15" hidden="false" customHeight="false" outlineLevel="0" collapsed="false">
      <c r="A146" s="6"/>
      <c r="B146" s="5"/>
      <c r="C146" s="5"/>
      <c r="D146" s="7"/>
      <c r="E146" s="9" t="str">
        <f aca="false">IF(A146="","",IFERROR(MATCH(A146,Paychecks!$B$2:$B$27,1),""))</f>
        <v/>
      </c>
    </row>
    <row r="147" customFormat="false" ht="15" hidden="false" customHeight="false" outlineLevel="0" collapsed="false">
      <c r="A147" s="6"/>
      <c r="B147" s="5"/>
      <c r="C147" s="5"/>
      <c r="D147" s="7"/>
      <c r="E147" s="9" t="str">
        <f aca="false">IF(A147="","",IFERROR(MATCH(A147,Paychecks!$B$2:$B$27,1),""))</f>
        <v/>
      </c>
    </row>
    <row r="148" customFormat="false" ht="15" hidden="false" customHeight="false" outlineLevel="0" collapsed="false">
      <c r="A148" s="6"/>
      <c r="B148" s="5"/>
      <c r="C148" s="5"/>
      <c r="D148" s="7"/>
      <c r="E148" s="9" t="str">
        <f aca="false">IF(A148="","",IFERROR(MATCH(A148,Paychecks!$B$2:$B$27,1),""))</f>
        <v/>
      </c>
    </row>
    <row r="149" customFormat="false" ht="15" hidden="false" customHeight="false" outlineLevel="0" collapsed="false">
      <c r="A149" s="6"/>
      <c r="B149" s="5"/>
      <c r="C149" s="5"/>
      <c r="D149" s="7"/>
      <c r="E149" s="9" t="str">
        <f aca="false">IF(A149="","",IFERROR(MATCH(A149,Paychecks!$B$2:$B$27,1),""))</f>
        <v/>
      </c>
    </row>
    <row r="150" customFormat="false" ht="15" hidden="false" customHeight="false" outlineLevel="0" collapsed="false">
      <c r="A150" s="6"/>
      <c r="B150" s="5"/>
      <c r="C150" s="5"/>
      <c r="D150" s="7"/>
      <c r="E150" s="9" t="str">
        <f aca="false">IF(A150="","",IFERROR(MATCH(A150,Paychecks!$B$2:$B$27,1),""))</f>
        <v/>
      </c>
    </row>
    <row r="151" customFormat="false" ht="15" hidden="false" customHeight="false" outlineLevel="0" collapsed="false">
      <c r="A151" s="6"/>
      <c r="B151" s="5"/>
      <c r="C151" s="5"/>
      <c r="D151" s="7"/>
      <c r="E151" s="9" t="str">
        <f aca="false">IF(A151="","",IFERROR(MATCH(A151,Paychecks!$B$2:$B$27,1),""))</f>
        <v/>
      </c>
    </row>
    <row r="152" customFormat="false" ht="15" hidden="false" customHeight="false" outlineLevel="0" collapsed="false">
      <c r="A152" s="6"/>
      <c r="B152" s="5"/>
      <c r="C152" s="5"/>
      <c r="D152" s="7"/>
      <c r="E152" s="9" t="str">
        <f aca="false">IF(A152="","",IFERROR(MATCH(A152,Paychecks!$B$2:$B$27,1),""))</f>
        <v/>
      </c>
    </row>
    <row r="153" customFormat="false" ht="15" hidden="false" customHeight="false" outlineLevel="0" collapsed="false">
      <c r="A153" s="6"/>
      <c r="B153" s="5"/>
      <c r="C153" s="5"/>
      <c r="D153" s="7"/>
      <c r="E153" s="9" t="str">
        <f aca="false">IF(A153="","",IFERROR(MATCH(A153,Paychecks!$B$2:$B$27,1),""))</f>
        <v/>
      </c>
    </row>
    <row r="154" customFormat="false" ht="15" hidden="false" customHeight="false" outlineLevel="0" collapsed="false">
      <c r="A154" s="6"/>
      <c r="B154" s="5"/>
      <c r="C154" s="5"/>
      <c r="D154" s="7"/>
      <c r="E154" s="9" t="str">
        <f aca="false">IF(A154="","",IFERROR(MATCH(A154,Paychecks!$B$2:$B$27,1),""))</f>
        <v/>
      </c>
    </row>
    <row r="155" customFormat="false" ht="15" hidden="false" customHeight="false" outlineLevel="0" collapsed="false">
      <c r="A155" s="6"/>
      <c r="B155" s="5"/>
      <c r="C155" s="5"/>
      <c r="D155" s="7"/>
      <c r="E155" s="9" t="str">
        <f aca="false">IF(A155="","",IFERROR(MATCH(A155,Paychecks!$B$2:$B$27,1),""))</f>
        <v/>
      </c>
    </row>
    <row r="156" customFormat="false" ht="15" hidden="false" customHeight="false" outlineLevel="0" collapsed="false">
      <c r="A156" s="6"/>
      <c r="B156" s="5"/>
      <c r="C156" s="5"/>
      <c r="D156" s="7"/>
      <c r="E156" s="9" t="str">
        <f aca="false">IF(A156="","",IFERROR(MATCH(A156,Paychecks!$B$2:$B$27,1),""))</f>
        <v/>
      </c>
    </row>
    <row r="157" customFormat="false" ht="15" hidden="false" customHeight="false" outlineLevel="0" collapsed="false">
      <c r="A157" s="6"/>
      <c r="B157" s="5"/>
      <c r="C157" s="5"/>
      <c r="D157" s="7"/>
      <c r="E157" s="9" t="str">
        <f aca="false">IF(A157="","",IFERROR(MATCH(A157,Paychecks!$B$2:$B$27,1),""))</f>
        <v/>
      </c>
    </row>
    <row r="158" customFormat="false" ht="15" hidden="false" customHeight="false" outlineLevel="0" collapsed="false">
      <c r="A158" s="6"/>
      <c r="B158" s="5"/>
      <c r="C158" s="5"/>
      <c r="D158" s="7"/>
      <c r="E158" s="9" t="str">
        <f aca="false">IF(A158="","",IFERROR(MATCH(A158,Paychecks!$B$2:$B$27,1),""))</f>
        <v/>
      </c>
    </row>
    <row r="159" customFormat="false" ht="15" hidden="false" customHeight="false" outlineLevel="0" collapsed="false">
      <c r="A159" s="6"/>
      <c r="B159" s="5"/>
      <c r="C159" s="5"/>
      <c r="D159" s="7"/>
      <c r="E159" s="9" t="str">
        <f aca="false">IF(A159="","",IFERROR(MATCH(A159,Paychecks!$B$2:$B$27,1),""))</f>
        <v/>
      </c>
    </row>
    <row r="160" customFormat="false" ht="15" hidden="false" customHeight="false" outlineLevel="0" collapsed="false">
      <c r="A160" s="6"/>
      <c r="B160" s="5"/>
      <c r="C160" s="5"/>
      <c r="D160" s="7"/>
      <c r="E160" s="9" t="str">
        <f aca="false">IF(A160="","",IFERROR(MATCH(A160,Paychecks!$B$2:$B$27,1),""))</f>
        <v/>
      </c>
    </row>
    <row r="161" customFormat="false" ht="15" hidden="false" customHeight="false" outlineLevel="0" collapsed="false">
      <c r="A161" s="6"/>
      <c r="B161" s="5"/>
      <c r="C161" s="5"/>
      <c r="D161" s="7"/>
      <c r="E161" s="9" t="str">
        <f aca="false">IF(A161="","",IFERROR(MATCH(A161,Paychecks!$B$2:$B$27,1),""))</f>
        <v/>
      </c>
    </row>
    <row r="162" customFormat="false" ht="15" hidden="false" customHeight="false" outlineLevel="0" collapsed="false">
      <c r="A162" s="6"/>
      <c r="B162" s="5"/>
      <c r="C162" s="5"/>
      <c r="D162" s="7"/>
      <c r="E162" s="9" t="str">
        <f aca="false">IF(A162="","",IFERROR(MATCH(A162,Paychecks!$B$2:$B$27,1),""))</f>
        <v/>
      </c>
    </row>
    <row r="163" customFormat="false" ht="15" hidden="false" customHeight="false" outlineLevel="0" collapsed="false">
      <c r="A163" s="6"/>
      <c r="B163" s="5"/>
      <c r="C163" s="5"/>
      <c r="D163" s="7"/>
      <c r="E163" s="9" t="str">
        <f aca="false">IF(A163="","",IFERROR(MATCH(A163,Paychecks!$B$2:$B$27,1),""))</f>
        <v/>
      </c>
    </row>
    <row r="164" customFormat="false" ht="15" hidden="false" customHeight="false" outlineLevel="0" collapsed="false">
      <c r="A164" s="6"/>
      <c r="B164" s="5"/>
      <c r="C164" s="5"/>
      <c r="D164" s="7"/>
      <c r="E164" s="9" t="str">
        <f aca="false">IF(A164="","",IFERROR(MATCH(A164,Paychecks!$B$2:$B$27,1),""))</f>
        <v/>
      </c>
    </row>
    <row r="165" customFormat="false" ht="15" hidden="false" customHeight="false" outlineLevel="0" collapsed="false">
      <c r="A165" s="6"/>
      <c r="B165" s="5"/>
      <c r="C165" s="5"/>
      <c r="D165" s="7"/>
      <c r="E165" s="9" t="str">
        <f aca="false">IF(A165="","",IFERROR(MATCH(A165,Paychecks!$B$2:$B$27,1),""))</f>
        <v/>
      </c>
    </row>
    <row r="166" customFormat="false" ht="15" hidden="false" customHeight="false" outlineLevel="0" collapsed="false">
      <c r="A166" s="6"/>
      <c r="B166" s="5"/>
      <c r="C166" s="5"/>
      <c r="D166" s="7"/>
      <c r="E166" s="9" t="str">
        <f aca="false">IF(A166="","",IFERROR(MATCH(A166,Paychecks!$B$2:$B$27,1),""))</f>
        <v/>
      </c>
    </row>
    <row r="167" customFormat="false" ht="15" hidden="false" customHeight="false" outlineLevel="0" collapsed="false">
      <c r="A167" s="6"/>
      <c r="B167" s="5"/>
      <c r="C167" s="5"/>
      <c r="D167" s="7"/>
      <c r="E167" s="9" t="str">
        <f aca="false">IF(A167="","",IFERROR(MATCH(A167,Paychecks!$B$2:$B$27,1),""))</f>
        <v/>
      </c>
    </row>
    <row r="168" customFormat="false" ht="15" hidden="false" customHeight="false" outlineLevel="0" collapsed="false">
      <c r="A168" s="6"/>
      <c r="B168" s="5"/>
      <c r="C168" s="5"/>
      <c r="D168" s="7"/>
      <c r="E168" s="9" t="str">
        <f aca="false">IF(A168="","",IFERROR(MATCH(A168,Paychecks!$B$2:$B$27,1),""))</f>
        <v/>
      </c>
    </row>
    <row r="169" customFormat="false" ht="15" hidden="false" customHeight="false" outlineLevel="0" collapsed="false">
      <c r="A169" s="6"/>
      <c r="B169" s="5"/>
      <c r="C169" s="5"/>
      <c r="D169" s="7"/>
      <c r="E169" s="9" t="str">
        <f aca="false">IF(A169="","",IFERROR(MATCH(A169,Paychecks!$B$2:$B$27,1),""))</f>
        <v/>
      </c>
    </row>
    <row r="170" customFormat="false" ht="15" hidden="false" customHeight="false" outlineLevel="0" collapsed="false">
      <c r="A170" s="6"/>
      <c r="B170" s="5"/>
      <c r="C170" s="5"/>
      <c r="D170" s="7"/>
      <c r="E170" s="9" t="str">
        <f aca="false">IF(A170="","",IFERROR(MATCH(A170,Paychecks!$B$2:$B$27,1),""))</f>
        <v/>
      </c>
    </row>
    <row r="171" customFormat="false" ht="15" hidden="false" customHeight="false" outlineLevel="0" collapsed="false">
      <c r="A171" s="6"/>
      <c r="B171" s="5"/>
      <c r="C171" s="5"/>
      <c r="D171" s="7"/>
      <c r="E171" s="9" t="str">
        <f aca="false">IF(A171="","",IFERROR(MATCH(A171,Paychecks!$B$2:$B$27,1),""))</f>
        <v/>
      </c>
    </row>
    <row r="172" customFormat="false" ht="15" hidden="false" customHeight="false" outlineLevel="0" collapsed="false">
      <c r="A172" s="6"/>
      <c r="B172" s="5"/>
      <c r="C172" s="5"/>
      <c r="D172" s="7"/>
      <c r="E172" s="9" t="str">
        <f aca="false">IF(A172="","",IFERROR(MATCH(A172,Paychecks!$B$2:$B$27,1),""))</f>
        <v/>
      </c>
    </row>
    <row r="173" customFormat="false" ht="15" hidden="false" customHeight="false" outlineLevel="0" collapsed="false">
      <c r="A173" s="6"/>
      <c r="B173" s="5"/>
      <c r="C173" s="5"/>
      <c r="D173" s="7"/>
      <c r="E173" s="9" t="str">
        <f aca="false">IF(A173="","",IFERROR(MATCH(A173,Paychecks!$B$2:$B$27,1),""))</f>
        <v/>
      </c>
    </row>
    <row r="174" customFormat="false" ht="15" hidden="false" customHeight="false" outlineLevel="0" collapsed="false">
      <c r="A174" s="6"/>
      <c r="B174" s="5"/>
      <c r="C174" s="5"/>
      <c r="D174" s="7"/>
      <c r="E174" s="9" t="str">
        <f aca="false">IF(A174="","",IFERROR(MATCH(A174,Paychecks!$B$2:$B$27,1),""))</f>
        <v/>
      </c>
    </row>
    <row r="175" customFormat="false" ht="15" hidden="false" customHeight="false" outlineLevel="0" collapsed="false">
      <c r="A175" s="6"/>
      <c r="B175" s="5"/>
      <c r="C175" s="5"/>
      <c r="D175" s="7"/>
      <c r="E175" s="9" t="str">
        <f aca="false">IF(A175="","",IFERROR(MATCH(A175,Paychecks!$B$2:$B$27,1),""))</f>
        <v/>
      </c>
    </row>
    <row r="176" customFormat="false" ht="15" hidden="false" customHeight="false" outlineLevel="0" collapsed="false">
      <c r="A176" s="6"/>
      <c r="B176" s="5"/>
      <c r="C176" s="5"/>
      <c r="D176" s="7"/>
      <c r="E176" s="9" t="str">
        <f aca="false">IF(A176="","",IFERROR(MATCH(A176,Paychecks!$B$2:$B$27,1),""))</f>
        <v/>
      </c>
    </row>
    <row r="177" customFormat="false" ht="15" hidden="false" customHeight="false" outlineLevel="0" collapsed="false">
      <c r="A177" s="6"/>
      <c r="B177" s="5"/>
      <c r="C177" s="5"/>
      <c r="D177" s="7"/>
      <c r="E177" s="9" t="str">
        <f aca="false">IF(A177="","",IFERROR(MATCH(A177,Paychecks!$B$2:$B$27,1),""))</f>
        <v/>
      </c>
    </row>
    <row r="178" customFormat="false" ht="15" hidden="false" customHeight="false" outlineLevel="0" collapsed="false">
      <c r="A178" s="6"/>
      <c r="B178" s="5"/>
      <c r="C178" s="5"/>
      <c r="D178" s="7"/>
      <c r="E178" s="9" t="str">
        <f aca="false">IF(A178="","",IFERROR(MATCH(A178,Paychecks!$B$2:$B$27,1),""))</f>
        <v/>
      </c>
    </row>
    <row r="179" customFormat="false" ht="15" hidden="false" customHeight="false" outlineLevel="0" collapsed="false">
      <c r="A179" s="6"/>
      <c r="B179" s="5"/>
      <c r="C179" s="5"/>
      <c r="D179" s="7"/>
      <c r="E179" s="9" t="str">
        <f aca="false">IF(A179="","",IFERROR(MATCH(A179,Paychecks!$B$2:$B$27,1),""))</f>
        <v/>
      </c>
    </row>
    <row r="180" customFormat="false" ht="15" hidden="false" customHeight="false" outlineLevel="0" collapsed="false">
      <c r="A180" s="6"/>
      <c r="B180" s="5"/>
      <c r="C180" s="5"/>
      <c r="D180" s="7"/>
      <c r="E180" s="9" t="str">
        <f aca="false">IF(A180="","",IFERROR(MATCH(A180,Paychecks!$B$2:$B$27,1),""))</f>
        <v/>
      </c>
    </row>
    <row r="181" customFormat="false" ht="15" hidden="false" customHeight="false" outlineLevel="0" collapsed="false">
      <c r="A181" s="6"/>
      <c r="B181" s="5"/>
      <c r="C181" s="5"/>
      <c r="D181" s="7"/>
      <c r="E181" s="9" t="str">
        <f aca="false">IF(A181="","",IFERROR(MATCH(A181,Paychecks!$B$2:$B$27,1),""))</f>
        <v/>
      </c>
    </row>
    <row r="182" customFormat="false" ht="15" hidden="false" customHeight="false" outlineLevel="0" collapsed="false">
      <c r="A182" s="6"/>
      <c r="B182" s="5"/>
      <c r="C182" s="5"/>
      <c r="D182" s="7"/>
      <c r="E182" s="9" t="str">
        <f aca="false">IF(A182="","",IFERROR(MATCH(A182,Paychecks!$B$2:$B$27,1),""))</f>
        <v/>
      </c>
    </row>
    <row r="183" customFormat="false" ht="15" hidden="false" customHeight="false" outlineLevel="0" collapsed="false">
      <c r="A183" s="6"/>
      <c r="B183" s="5"/>
      <c r="C183" s="5"/>
      <c r="D183" s="7"/>
      <c r="E183" s="9" t="str">
        <f aca="false">IF(A183="","",IFERROR(MATCH(A183,Paychecks!$B$2:$B$27,1),""))</f>
        <v/>
      </c>
    </row>
    <row r="184" customFormat="false" ht="15" hidden="false" customHeight="false" outlineLevel="0" collapsed="false">
      <c r="A184" s="6"/>
      <c r="B184" s="5"/>
      <c r="C184" s="5"/>
      <c r="D184" s="7"/>
      <c r="E184" s="9" t="str">
        <f aca="false">IF(A184="","",IFERROR(MATCH(A184,Paychecks!$B$2:$B$27,1),""))</f>
        <v/>
      </c>
    </row>
    <row r="185" customFormat="false" ht="15" hidden="false" customHeight="false" outlineLevel="0" collapsed="false">
      <c r="A185" s="6"/>
      <c r="B185" s="5"/>
      <c r="C185" s="5"/>
      <c r="D185" s="7"/>
      <c r="E185" s="9" t="str">
        <f aca="false">IF(A185="","",IFERROR(MATCH(A185,Paychecks!$B$2:$B$27,1),""))</f>
        <v/>
      </c>
    </row>
    <row r="186" customFormat="false" ht="15" hidden="false" customHeight="false" outlineLevel="0" collapsed="false">
      <c r="A186" s="6"/>
      <c r="B186" s="5"/>
      <c r="C186" s="5"/>
      <c r="D186" s="7"/>
      <c r="E186" s="9" t="str">
        <f aca="false">IF(A186="","",IFERROR(MATCH(A186,Paychecks!$B$2:$B$27,1),""))</f>
        <v/>
      </c>
    </row>
    <row r="187" customFormat="false" ht="15" hidden="false" customHeight="false" outlineLevel="0" collapsed="false">
      <c r="A187" s="6"/>
      <c r="B187" s="5"/>
      <c r="C187" s="5"/>
      <c r="D187" s="7"/>
      <c r="E187" s="9" t="str">
        <f aca="false">IF(A187="","",IFERROR(MATCH(A187,Paychecks!$B$2:$B$27,1),""))</f>
        <v/>
      </c>
    </row>
    <row r="188" customFormat="false" ht="15" hidden="false" customHeight="false" outlineLevel="0" collapsed="false">
      <c r="A188" s="6"/>
      <c r="B188" s="5"/>
      <c r="C188" s="5"/>
      <c r="D188" s="7"/>
      <c r="E188" s="9" t="str">
        <f aca="false">IF(A188="","",IFERROR(MATCH(A188,Paychecks!$B$2:$B$27,1),""))</f>
        <v/>
      </c>
    </row>
    <row r="189" customFormat="false" ht="15" hidden="false" customHeight="false" outlineLevel="0" collapsed="false">
      <c r="A189" s="6"/>
      <c r="B189" s="5"/>
      <c r="C189" s="5"/>
      <c r="D189" s="7"/>
      <c r="E189" s="9" t="str">
        <f aca="false">IF(A189="","",IFERROR(MATCH(A189,Paychecks!$B$2:$B$27,1),""))</f>
        <v/>
      </c>
    </row>
    <row r="190" customFormat="false" ht="15" hidden="false" customHeight="false" outlineLevel="0" collapsed="false">
      <c r="A190" s="6"/>
      <c r="B190" s="5"/>
      <c r="C190" s="5"/>
      <c r="D190" s="7"/>
      <c r="E190" s="9" t="str">
        <f aca="false">IF(A190="","",IFERROR(MATCH(A190,Paychecks!$B$2:$B$27,1),""))</f>
        <v/>
      </c>
    </row>
    <row r="191" customFormat="false" ht="15" hidden="false" customHeight="false" outlineLevel="0" collapsed="false">
      <c r="A191" s="6"/>
      <c r="B191" s="5"/>
      <c r="C191" s="5"/>
      <c r="D191" s="7"/>
      <c r="E191" s="9" t="str">
        <f aca="false">IF(A191="","",IFERROR(MATCH(A191,Paychecks!$B$2:$B$27,1),""))</f>
        <v/>
      </c>
    </row>
    <row r="192" customFormat="false" ht="15" hidden="false" customHeight="false" outlineLevel="0" collapsed="false">
      <c r="A192" s="6"/>
      <c r="B192" s="5"/>
      <c r="C192" s="5"/>
      <c r="D192" s="7"/>
      <c r="E192" s="9" t="str">
        <f aca="false">IF(A192="","",IFERROR(MATCH(A192,Paychecks!$B$2:$B$27,1),""))</f>
        <v/>
      </c>
    </row>
    <row r="193" customFormat="false" ht="15" hidden="false" customHeight="false" outlineLevel="0" collapsed="false">
      <c r="A193" s="6"/>
      <c r="B193" s="5"/>
      <c r="C193" s="5"/>
      <c r="D193" s="7"/>
      <c r="E193" s="9" t="str">
        <f aca="false">IF(A193="","",IFERROR(MATCH(A193,Paychecks!$B$2:$B$27,1),""))</f>
        <v/>
      </c>
    </row>
    <row r="194" customFormat="false" ht="15" hidden="false" customHeight="false" outlineLevel="0" collapsed="false">
      <c r="A194" s="6"/>
      <c r="B194" s="5"/>
      <c r="C194" s="5"/>
      <c r="D194" s="7"/>
      <c r="E194" s="9" t="str">
        <f aca="false">IF(A194="","",IFERROR(MATCH(A194,Paychecks!$B$2:$B$27,1),""))</f>
        <v/>
      </c>
    </row>
    <row r="195" customFormat="false" ht="15" hidden="false" customHeight="false" outlineLevel="0" collapsed="false">
      <c r="A195" s="6"/>
      <c r="B195" s="5"/>
      <c r="C195" s="5"/>
      <c r="D195" s="7"/>
      <c r="E195" s="9" t="str">
        <f aca="false">IF(A195="","",IFERROR(MATCH(A195,Paychecks!$B$2:$B$27,1),""))</f>
        <v/>
      </c>
    </row>
    <row r="196" customFormat="false" ht="15" hidden="false" customHeight="false" outlineLevel="0" collapsed="false">
      <c r="A196" s="6"/>
      <c r="B196" s="5"/>
      <c r="C196" s="5"/>
      <c r="D196" s="7"/>
      <c r="E196" s="9" t="str">
        <f aca="false">IF(A196="","",IFERROR(MATCH(A196,Paychecks!$B$2:$B$27,1),""))</f>
        <v/>
      </c>
    </row>
    <row r="197" customFormat="false" ht="15" hidden="false" customHeight="false" outlineLevel="0" collapsed="false">
      <c r="A197" s="6"/>
      <c r="B197" s="5"/>
      <c r="C197" s="5"/>
      <c r="D197" s="7"/>
      <c r="E197" s="9" t="str">
        <f aca="false">IF(A197="","",IFERROR(MATCH(A197,Paychecks!$B$2:$B$27,1),""))</f>
        <v/>
      </c>
    </row>
    <row r="198" customFormat="false" ht="15" hidden="false" customHeight="false" outlineLevel="0" collapsed="false">
      <c r="A198" s="6"/>
      <c r="B198" s="5"/>
      <c r="C198" s="5"/>
      <c r="D198" s="7"/>
      <c r="E198" s="9" t="str">
        <f aca="false">IF(A198="","",IFERROR(MATCH(A198,Paychecks!$B$2:$B$27,1),""))</f>
        <v/>
      </c>
    </row>
    <row r="199" customFormat="false" ht="15" hidden="false" customHeight="false" outlineLevel="0" collapsed="false">
      <c r="A199" s="6"/>
      <c r="B199" s="5"/>
      <c r="C199" s="5"/>
      <c r="D199" s="7"/>
      <c r="E199" s="9" t="str">
        <f aca="false">IF(A199="","",IFERROR(MATCH(A199,Paychecks!$B$2:$B$27,1),""))</f>
        <v/>
      </c>
    </row>
    <row r="200" customFormat="false" ht="15" hidden="false" customHeight="false" outlineLevel="0" collapsed="false">
      <c r="A200" s="6"/>
      <c r="B200" s="5"/>
      <c r="C200" s="5"/>
      <c r="D200" s="7"/>
      <c r="E200" s="9" t="str">
        <f aca="false">IF(A200="","",IFERROR(MATCH(A200,Paychecks!$B$2:$B$27,1),""))</f>
        <v/>
      </c>
    </row>
    <row r="201" customFormat="false" ht="15" hidden="false" customHeight="false" outlineLevel="0" collapsed="false">
      <c r="A201" s="6"/>
      <c r="B201" s="5"/>
      <c r="C201" s="5"/>
      <c r="D201" s="7"/>
      <c r="E201" s="9" t="str">
        <f aca="false">IF(A201="","",IFERROR(MATCH(A201,Paychecks!$B$2:$B$27,1),""))</f>
        <v/>
      </c>
    </row>
    <row r="202" customFormat="false" ht="15" hidden="false" customHeight="false" outlineLevel="0" collapsed="false">
      <c r="A202" s="6"/>
      <c r="B202" s="5"/>
      <c r="C202" s="5"/>
      <c r="D202" s="7"/>
      <c r="E202" s="9" t="str">
        <f aca="false">IF(A202="","",IFERROR(MATCH(A202,Paychecks!$B$2:$B$27,1),""))</f>
        <v/>
      </c>
    </row>
    <row r="203" customFormat="false" ht="15" hidden="false" customHeight="false" outlineLevel="0" collapsed="false">
      <c r="A203" s="6"/>
      <c r="B203" s="5"/>
      <c r="C203" s="5"/>
      <c r="D203" s="7"/>
      <c r="E203" s="9" t="str">
        <f aca="false">IF(A203="","",IFERROR(MATCH(A203,Paychecks!$B$2:$B$27,1),""))</f>
        <v/>
      </c>
    </row>
    <row r="204" customFormat="false" ht="15" hidden="false" customHeight="false" outlineLevel="0" collapsed="false">
      <c r="A204" s="6"/>
      <c r="B204" s="5"/>
      <c r="C204" s="5"/>
      <c r="D204" s="7"/>
      <c r="E204" s="9" t="str">
        <f aca="false">IF(A204="","",IFERROR(MATCH(A204,Paychecks!$B$2:$B$27,1),""))</f>
        <v/>
      </c>
    </row>
    <row r="205" customFormat="false" ht="15" hidden="false" customHeight="false" outlineLevel="0" collapsed="false">
      <c r="A205" s="6"/>
      <c r="B205" s="5"/>
      <c r="C205" s="5"/>
      <c r="D205" s="7"/>
      <c r="E205" s="9" t="str">
        <f aca="false">IF(A205="","",IFERROR(MATCH(A205,Paychecks!$B$2:$B$27,1),""))</f>
        <v/>
      </c>
    </row>
    <row r="206" customFormat="false" ht="15" hidden="false" customHeight="false" outlineLevel="0" collapsed="false">
      <c r="A206" s="6"/>
      <c r="B206" s="5"/>
      <c r="C206" s="5"/>
      <c r="D206" s="7"/>
      <c r="E206" s="9" t="str">
        <f aca="false">IF(A206="","",IFERROR(MATCH(A206,Paychecks!$B$2:$B$27,1),""))</f>
        <v/>
      </c>
    </row>
    <row r="207" customFormat="false" ht="15" hidden="false" customHeight="false" outlineLevel="0" collapsed="false">
      <c r="A207" s="6"/>
      <c r="B207" s="5"/>
      <c r="C207" s="5"/>
      <c r="D207" s="7"/>
      <c r="E207" s="9" t="str">
        <f aca="false">IF(A207="","",IFERROR(MATCH(A207,Paychecks!$B$2:$B$27,1),""))</f>
        <v/>
      </c>
    </row>
    <row r="208" customFormat="false" ht="15" hidden="false" customHeight="false" outlineLevel="0" collapsed="false">
      <c r="A208" s="6"/>
      <c r="B208" s="5"/>
      <c r="C208" s="5"/>
      <c r="D208" s="7"/>
      <c r="E208" s="9" t="str">
        <f aca="false">IF(A208="","",IFERROR(MATCH(A208,Paychecks!$B$2:$B$27,1),""))</f>
        <v/>
      </c>
    </row>
    <row r="209" customFormat="false" ht="15" hidden="false" customHeight="false" outlineLevel="0" collapsed="false">
      <c r="A209" s="6"/>
      <c r="B209" s="5"/>
      <c r="C209" s="5"/>
      <c r="D209" s="7"/>
      <c r="E209" s="9" t="str">
        <f aca="false">IF(A209="","",IFERROR(MATCH(A209,Paychecks!$B$2:$B$27,1),""))</f>
        <v/>
      </c>
    </row>
    <row r="210" customFormat="false" ht="15" hidden="false" customHeight="false" outlineLevel="0" collapsed="false">
      <c r="A210" s="6"/>
      <c r="B210" s="5"/>
      <c r="C210" s="5"/>
      <c r="D210" s="7"/>
      <c r="E210" s="9" t="str">
        <f aca="false">IF(A210="","",IFERROR(MATCH(A210,Paychecks!$B$2:$B$27,1),""))</f>
        <v/>
      </c>
    </row>
    <row r="211" customFormat="false" ht="15" hidden="false" customHeight="false" outlineLevel="0" collapsed="false">
      <c r="A211" s="6"/>
      <c r="B211" s="5"/>
      <c r="C211" s="5"/>
      <c r="D211" s="7"/>
      <c r="E211" s="9" t="str">
        <f aca="false">IF(A211="","",IFERROR(MATCH(A211,Paychecks!$B$2:$B$27,1),""))</f>
        <v/>
      </c>
    </row>
    <row r="212" customFormat="false" ht="15" hidden="false" customHeight="false" outlineLevel="0" collapsed="false">
      <c r="A212" s="6"/>
      <c r="B212" s="5"/>
      <c r="C212" s="5"/>
      <c r="D212" s="7"/>
      <c r="E212" s="9" t="str">
        <f aca="false">IF(A212="","",IFERROR(MATCH(A212,Paychecks!$B$2:$B$27,1),""))</f>
        <v/>
      </c>
    </row>
    <row r="213" customFormat="false" ht="15" hidden="false" customHeight="false" outlineLevel="0" collapsed="false">
      <c r="A213" s="6"/>
      <c r="B213" s="5"/>
      <c r="C213" s="5"/>
      <c r="D213" s="7"/>
      <c r="E213" s="9" t="str">
        <f aca="false">IF(A213="","",IFERROR(MATCH(A213,Paychecks!$B$2:$B$27,1),""))</f>
        <v/>
      </c>
    </row>
    <row r="214" customFormat="false" ht="15" hidden="false" customHeight="false" outlineLevel="0" collapsed="false">
      <c r="A214" s="6"/>
      <c r="B214" s="5"/>
      <c r="C214" s="5"/>
      <c r="D214" s="7"/>
      <c r="E214" s="9" t="str">
        <f aca="false">IF(A214="","",IFERROR(MATCH(A214,Paychecks!$B$2:$B$27,1),""))</f>
        <v/>
      </c>
    </row>
    <row r="215" customFormat="false" ht="15" hidden="false" customHeight="false" outlineLevel="0" collapsed="false">
      <c r="A215" s="6"/>
      <c r="B215" s="5"/>
      <c r="C215" s="5"/>
      <c r="D215" s="7"/>
      <c r="E215" s="9" t="str">
        <f aca="false">IF(A215="","",IFERROR(MATCH(A215,Paychecks!$B$2:$B$27,1),""))</f>
        <v/>
      </c>
    </row>
    <row r="216" customFormat="false" ht="15" hidden="false" customHeight="false" outlineLevel="0" collapsed="false">
      <c r="A216" s="6"/>
      <c r="B216" s="5"/>
      <c r="C216" s="5"/>
      <c r="D216" s="7"/>
      <c r="E216" s="9" t="str">
        <f aca="false">IF(A216="","",IFERROR(MATCH(A216,Paychecks!$B$2:$B$27,1),""))</f>
        <v/>
      </c>
    </row>
    <row r="217" customFormat="false" ht="15" hidden="false" customHeight="false" outlineLevel="0" collapsed="false">
      <c r="A217" s="6"/>
      <c r="B217" s="5"/>
      <c r="C217" s="5"/>
      <c r="D217" s="7"/>
      <c r="E217" s="9" t="str">
        <f aca="false">IF(A217="","",IFERROR(MATCH(A217,Paychecks!$B$2:$B$27,1),""))</f>
        <v/>
      </c>
    </row>
    <row r="218" customFormat="false" ht="15" hidden="false" customHeight="false" outlineLevel="0" collapsed="false">
      <c r="A218" s="6"/>
      <c r="B218" s="5"/>
      <c r="C218" s="5"/>
      <c r="D218" s="7"/>
      <c r="E218" s="9" t="str">
        <f aca="false">IF(A218="","",IFERROR(MATCH(A218,Paychecks!$B$2:$B$27,1),""))</f>
        <v/>
      </c>
    </row>
    <row r="219" customFormat="false" ht="15" hidden="false" customHeight="false" outlineLevel="0" collapsed="false">
      <c r="A219" s="6"/>
      <c r="B219" s="5"/>
      <c r="C219" s="5"/>
      <c r="D219" s="7"/>
      <c r="E219" s="9" t="str">
        <f aca="false">IF(A219="","",IFERROR(MATCH(A219,Paychecks!$B$2:$B$27,1),""))</f>
        <v/>
      </c>
    </row>
    <row r="220" customFormat="false" ht="15" hidden="false" customHeight="false" outlineLevel="0" collapsed="false">
      <c r="A220" s="6"/>
      <c r="B220" s="5"/>
      <c r="C220" s="5"/>
      <c r="D220" s="7"/>
      <c r="E220" s="9" t="str">
        <f aca="false">IF(A220="","",IFERROR(MATCH(A220,Paychecks!$B$2:$B$27,1),""))</f>
        <v/>
      </c>
    </row>
    <row r="221" customFormat="false" ht="15" hidden="false" customHeight="false" outlineLevel="0" collapsed="false">
      <c r="A221" s="6"/>
      <c r="B221" s="5"/>
      <c r="C221" s="5"/>
      <c r="D221" s="7"/>
      <c r="E221" s="9" t="str">
        <f aca="false">IF(A221="","",IFERROR(MATCH(A221,Paychecks!$B$2:$B$27,1),""))</f>
        <v/>
      </c>
    </row>
    <row r="222" customFormat="false" ht="15" hidden="false" customHeight="false" outlineLevel="0" collapsed="false">
      <c r="A222" s="6"/>
      <c r="B222" s="5"/>
      <c r="C222" s="5"/>
      <c r="D222" s="7"/>
      <c r="E222" s="9" t="str">
        <f aca="false">IF(A222="","",IFERROR(MATCH(A222,Paychecks!$B$2:$B$27,1),""))</f>
        <v/>
      </c>
    </row>
    <row r="223" customFormat="false" ht="15" hidden="false" customHeight="false" outlineLevel="0" collapsed="false">
      <c r="A223" s="6"/>
      <c r="B223" s="5"/>
      <c r="C223" s="5"/>
      <c r="D223" s="7"/>
      <c r="E223" s="9" t="str">
        <f aca="false">IF(A223="","",IFERROR(MATCH(A223,Paychecks!$B$2:$B$27,1),""))</f>
        <v/>
      </c>
    </row>
    <row r="224" customFormat="false" ht="15" hidden="false" customHeight="false" outlineLevel="0" collapsed="false">
      <c r="A224" s="6"/>
      <c r="B224" s="5"/>
      <c r="C224" s="5"/>
      <c r="D224" s="7"/>
      <c r="E224" s="9" t="str">
        <f aca="false">IF(A224="","",IFERROR(MATCH(A224,Paychecks!$B$2:$B$27,1),""))</f>
        <v/>
      </c>
    </row>
    <row r="225" customFormat="false" ht="15" hidden="false" customHeight="false" outlineLevel="0" collapsed="false">
      <c r="A225" s="6"/>
      <c r="B225" s="5"/>
      <c r="C225" s="5"/>
      <c r="D225" s="7"/>
      <c r="E225" s="9" t="str">
        <f aca="false">IF(A225="","",IFERROR(MATCH(A225,Paychecks!$B$2:$B$27,1),""))</f>
        <v/>
      </c>
    </row>
    <row r="226" customFormat="false" ht="15" hidden="false" customHeight="false" outlineLevel="0" collapsed="false">
      <c r="A226" s="6"/>
      <c r="B226" s="5"/>
      <c r="C226" s="5"/>
      <c r="D226" s="7"/>
      <c r="E226" s="9" t="str">
        <f aca="false">IF(A226="","",IFERROR(MATCH(A226,Paychecks!$B$2:$B$27,1),""))</f>
        <v/>
      </c>
    </row>
    <row r="227" customFormat="false" ht="15" hidden="false" customHeight="false" outlineLevel="0" collapsed="false">
      <c r="A227" s="6"/>
      <c r="B227" s="5"/>
      <c r="C227" s="5"/>
      <c r="D227" s="7"/>
      <c r="E227" s="9" t="str">
        <f aca="false">IF(A227="","",IFERROR(MATCH(A227,Paychecks!$B$2:$B$27,1),""))</f>
        <v/>
      </c>
    </row>
    <row r="228" customFormat="false" ht="15" hidden="false" customHeight="false" outlineLevel="0" collapsed="false">
      <c r="A228" s="6"/>
      <c r="B228" s="5"/>
      <c r="C228" s="5"/>
      <c r="D228" s="7"/>
      <c r="E228" s="9" t="str">
        <f aca="false">IF(A228="","",IFERROR(MATCH(A228,Paychecks!$B$2:$B$27,1),""))</f>
        <v/>
      </c>
    </row>
    <row r="229" customFormat="false" ht="15" hidden="false" customHeight="false" outlineLevel="0" collapsed="false">
      <c r="A229" s="6"/>
      <c r="B229" s="5"/>
      <c r="C229" s="5"/>
      <c r="D229" s="7"/>
      <c r="E229" s="9" t="str">
        <f aca="false">IF(A229="","",IFERROR(MATCH(A229,Paychecks!$B$2:$B$27,1),""))</f>
        <v/>
      </c>
    </row>
    <row r="230" customFormat="false" ht="15" hidden="false" customHeight="false" outlineLevel="0" collapsed="false">
      <c r="A230" s="6"/>
      <c r="B230" s="5"/>
      <c r="C230" s="5"/>
      <c r="D230" s="7"/>
      <c r="E230" s="9" t="str">
        <f aca="false">IF(A230="","",IFERROR(MATCH(A230,Paychecks!$B$2:$B$27,1),""))</f>
        <v/>
      </c>
    </row>
    <row r="231" customFormat="false" ht="15" hidden="false" customHeight="false" outlineLevel="0" collapsed="false">
      <c r="A231" s="6"/>
      <c r="B231" s="5"/>
      <c r="C231" s="5"/>
      <c r="D231" s="7"/>
      <c r="E231" s="9" t="str">
        <f aca="false">IF(A231="","",IFERROR(MATCH(A231,Paychecks!$B$2:$B$27,1),""))</f>
        <v/>
      </c>
    </row>
    <row r="232" customFormat="false" ht="15" hidden="false" customHeight="false" outlineLevel="0" collapsed="false">
      <c r="A232" s="6"/>
      <c r="B232" s="5"/>
      <c r="C232" s="5"/>
      <c r="D232" s="7"/>
      <c r="E232" s="9" t="str">
        <f aca="false">IF(A232="","",IFERROR(MATCH(A232,Paychecks!$B$2:$B$27,1),""))</f>
        <v/>
      </c>
    </row>
    <row r="233" customFormat="false" ht="15" hidden="false" customHeight="false" outlineLevel="0" collapsed="false">
      <c r="A233" s="6"/>
      <c r="B233" s="5"/>
      <c r="C233" s="5"/>
      <c r="D233" s="7"/>
      <c r="E233" s="9" t="str">
        <f aca="false">IF(A233="","",IFERROR(MATCH(A233,Paychecks!$B$2:$B$27,1),""))</f>
        <v/>
      </c>
    </row>
    <row r="234" customFormat="false" ht="15" hidden="false" customHeight="false" outlineLevel="0" collapsed="false">
      <c r="A234" s="6"/>
      <c r="B234" s="5"/>
      <c r="C234" s="5"/>
      <c r="D234" s="7"/>
      <c r="E234" s="9" t="str">
        <f aca="false">IF(A234="","",IFERROR(MATCH(A234,Paychecks!$B$2:$B$27,1),""))</f>
        <v/>
      </c>
    </row>
    <row r="235" customFormat="false" ht="15" hidden="false" customHeight="false" outlineLevel="0" collapsed="false">
      <c r="A235" s="6"/>
      <c r="B235" s="5"/>
      <c r="C235" s="5"/>
      <c r="D235" s="7"/>
      <c r="E235" s="9" t="str">
        <f aca="false">IF(A235="","",IFERROR(MATCH(A235,Paychecks!$B$2:$B$27,1),""))</f>
        <v/>
      </c>
    </row>
    <row r="236" customFormat="false" ht="15" hidden="false" customHeight="false" outlineLevel="0" collapsed="false">
      <c r="A236" s="6"/>
      <c r="B236" s="5"/>
      <c r="C236" s="5"/>
      <c r="D236" s="7"/>
      <c r="E236" s="9" t="str">
        <f aca="false">IF(A236="","",IFERROR(MATCH(A236,Paychecks!$B$2:$B$27,1),""))</f>
        <v/>
      </c>
    </row>
    <row r="237" customFormat="false" ht="15" hidden="false" customHeight="false" outlineLevel="0" collapsed="false">
      <c r="A237" s="6"/>
      <c r="B237" s="5"/>
      <c r="C237" s="5"/>
      <c r="D237" s="7"/>
      <c r="E237" s="9" t="str">
        <f aca="false">IF(A237="","",IFERROR(MATCH(A237,Paychecks!$B$2:$B$27,1),""))</f>
        <v/>
      </c>
    </row>
    <row r="238" customFormat="false" ht="15" hidden="false" customHeight="false" outlineLevel="0" collapsed="false">
      <c r="A238" s="6"/>
      <c r="B238" s="5"/>
      <c r="C238" s="5"/>
      <c r="D238" s="7"/>
      <c r="E238" s="9" t="str">
        <f aca="false">IF(A238="","",IFERROR(MATCH(A238,Paychecks!$B$2:$B$27,1),""))</f>
        <v/>
      </c>
    </row>
    <row r="239" customFormat="false" ht="15" hidden="false" customHeight="false" outlineLevel="0" collapsed="false">
      <c r="A239" s="6"/>
      <c r="B239" s="5"/>
      <c r="C239" s="5"/>
      <c r="D239" s="7"/>
      <c r="E239" s="9" t="str">
        <f aca="false">IF(A239="","",IFERROR(MATCH(A239,Paychecks!$B$2:$B$27,1),""))</f>
        <v/>
      </c>
    </row>
    <row r="240" customFormat="false" ht="15" hidden="false" customHeight="false" outlineLevel="0" collapsed="false">
      <c r="A240" s="6"/>
      <c r="B240" s="5"/>
      <c r="C240" s="5"/>
      <c r="D240" s="7"/>
      <c r="E240" s="9" t="str">
        <f aca="false">IF(A240="","",IFERROR(MATCH(A240,Paychecks!$B$2:$B$27,1),""))</f>
        <v/>
      </c>
    </row>
    <row r="241" customFormat="false" ht="15" hidden="false" customHeight="false" outlineLevel="0" collapsed="false">
      <c r="A241" s="6"/>
      <c r="B241" s="5"/>
      <c r="C241" s="5"/>
      <c r="D241" s="7"/>
      <c r="E241" s="9" t="str">
        <f aca="false">IF(A241="","",IFERROR(MATCH(A241,Paychecks!$B$2:$B$27,1),""))</f>
        <v/>
      </c>
    </row>
    <row r="242" customFormat="false" ht="15" hidden="false" customHeight="false" outlineLevel="0" collapsed="false">
      <c r="A242" s="6"/>
      <c r="B242" s="5"/>
      <c r="C242" s="5"/>
      <c r="D242" s="7"/>
      <c r="E242" s="9" t="str">
        <f aca="false">IF(A242="","",IFERROR(MATCH(A242,Paychecks!$B$2:$B$27,1),""))</f>
        <v/>
      </c>
    </row>
    <row r="243" customFormat="false" ht="15" hidden="false" customHeight="false" outlineLevel="0" collapsed="false">
      <c r="A243" s="6"/>
      <c r="B243" s="5"/>
      <c r="C243" s="5"/>
      <c r="D243" s="7"/>
      <c r="E243" s="9" t="str">
        <f aca="false">IF(A243="","",IFERROR(MATCH(A243,Paychecks!$B$2:$B$27,1),""))</f>
        <v/>
      </c>
    </row>
    <row r="244" customFormat="false" ht="15" hidden="false" customHeight="false" outlineLevel="0" collapsed="false">
      <c r="A244" s="6"/>
      <c r="B244" s="5"/>
      <c r="C244" s="5"/>
      <c r="D244" s="7"/>
      <c r="E244" s="9" t="str">
        <f aca="false">IF(A244="","",IFERROR(MATCH(A244,Paychecks!$B$2:$B$27,1),""))</f>
        <v/>
      </c>
    </row>
    <row r="245" customFormat="false" ht="15" hidden="false" customHeight="false" outlineLevel="0" collapsed="false">
      <c r="A245" s="6"/>
      <c r="B245" s="5"/>
      <c r="C245" s="5"/>
      <c r="D245" s="7"/>
      <c r="E245" s="9" t="str">
        <f aca="false">IF(A245="","",IFERROR(MATCH(A245,Paychecks!$B$2:$B$27,1),""))</f>
        <v/>
      </c>
    </row>
    <row r="246" customFormat="false" ht="15" hidden="false" customHeight="false" outlineLevel="0" collapsed="false">
      <c r="A246" s="6"/>
      <c r="B246" s="5"/>
      <c r="C246" s="5"/>
      <c r="D246" s="7"/>
      <c r="E246" s="9" t="str">
        <f aca="false">IF(A246="","",IFERROR(MATCH(A246,Paychecks!$B$2:$B$27,1),""))</f>
        <v/>
      </c>
    </row>
    <row r="247" customFormat="false" ht="15" hidden="false" customHeight="false" outlineLevel="0" collapsed="false">
      <c r="A247" s="6"/>
      <c r="B247" s="5"/>
      <c r="C247" s="5"/>
      <c r="D247" s="7"/>
      <c r="E247" s="9" t="str">
        <f aca="false">IF(A247="","",IFERROR(MATCH(A247,Paychecks!$B$2:$B$27,1),""))</f>
        <v/>
      </c>
    </row>
    <row r="248" customFormat="false" ht="15" hidden="false" customHeight="false" outlineLevel="0" collapsed="false">
      <c r="A248" s="6"/>
      <c r="B248" s="5"/>
      <c r="C248" s="5"/>
      <c r="D248" s="7"/>
      <c r="E248" s="9" t="str">
        <f aca="false">IF(A248="","",IFERROR(MATCH(A248,Paychecks!$B$2:$B$27,1),""))</f>
        <v/>
      </c>
    </row>
    <row r="249" customFormat="false" ht="15" hidden="false" customHeight="false" outlineLevel="0" collapsed="false">
      <c r="A249" s="6"/>
      <c r="B249" s="5"/>
      <c r="C249" s="5"/>
      <c r="D249" s="7"/>
      <c r="E249" s="9" t="str">
        <f aca="false">IF(A249="","",IFERROR(MATCH(A249,Paychecks!$B$2:$B$27,1),""))</f>
        <v/>
      </c>
    </row>
    <row r="250" customFormat="false" ht="15" hidden="false" customHeight="false" outlineLevel="0" collapsed="false">
      <c r="A250" s="6"/>
      <c r="B250" s="5"/>
      <c r="C250" s="5"/>
      <c r="D250" s="7"/>
      <c r="E250" s="9" t="str">
        <f aca="false">IF(A250="","",IFERROR(MATCH(A250,Paychecks!$B$2:$B$27,1),""))</f>
        <v/>
      </c>
    </row>
    <row r="251" customFormat="false" ht="15" hidden="false" customHeight="false" outlineLevel="0" collapsed="false">
      <c r="A251" s="6"/>
      <c r="B251" s="5"/>
      <c r="C251" s="5"/>
      <c r="D251" s="7"/>
      <c r="E251" s="9" t="str">
        <f aca="false">IF(A251="","",IFERROR(MATCH(A251,Paychecks!$B$2:$B$27,1),""))</f>
        <v/>
      </c>
    </row>
    <row r="252" customFormat="false" ht="15" hidden="false" customHeight="false" outlineLevel="0" collapsed="false">
      <c r="A252" s="6"/>
      <c r="B252" s="5"/>
      <c r="C252" s="5"/>
      <c r="D252" s="7"/>
      <c r="E252" s="9" t="str">
        <f aca="false">IF(A252="","",IFERROR(MATCH(A252,Paychecks!$B$2:$B$27,1),""))</f>
        <v/>
      </c>
    </row>
    <row r="253" customFormat="false" ht="15" hidden="false" customHeight="false" outlineLevel="0" collapsed="false">
      <c r="A253" s="6"/>
      <c r="B253" s="5"/>
      <c r="C253" s="5"/>
      <c r="D253" s="7"/>
      <c r="E253" s="9" t="str">
        <f aca="false">IF(A253="","",IFERROR(MATCH(A253,Paychecks!$B$2:$B$27,1),""))</f>
        <v/>
      </c>
    </row>
    <row r="254" customFormat="false" ht="15" hidden="false" customHeight="false" outlineLevel="0" collapsed="false">
      <c r="A254" s="6"/>
      <c r="B254" s="5"/>
      <c r="C254" s="5"/>
      <c r="D254" s="7"/>
      <c r="E254" s="9" t="str">
        <f aca="false">IF(A254="","",IFERROR(MATCH(A254,Paychecks!$B$2:$B$27,1),""))</f>
        <v/>
      </c>
    </row>
    <row r="255" customFormat="false" ht="15" hidden="false" customHeight="false" outlineLevel="0" collapsed="false">
      <c r="A255" s="6"/>
      <c r="B255" s="5"/>
      <c r="C255" s="5"/>
      <c r="D255" s="7"/>
      <c r="E255" s="9" t="str">
        <f aca="false">IF(A255="","",IFERROR(MATCH(A255,Paychecks!$B$2:$B$27,1),""))</f>
        <v/>
      </c>
    </row>
    <row r="256" customFormat="false" ht="15" hidden="false" customHeight="false" outlineLevel="0" collapsed="false">
      <c r="A256" s="6"/>
      <c r="B256" s="5"/>
      <c r="C256" s="5"/>
      <c r="D256" s="7"/>
      <c r="E256" s="9" t="str">
        <f aca="false">IF(A256="","",IFERROR(MATCH(A256,Paychecks!$B$2:$B$27,1),""))</f>
        <v/>
      </c>
    </row>
    <row r="257" customFormat="false" ht="15" hidden="false" customHeight="false" outlineLevel="0" collapsed="false">
      <c r="A257" s="6"/>
      <c r="B257" s="5"/>
      <c r="C257" s="5"/>
      <c r="D257" s="7"/>
      <c r="E257" s="9" t="str">
        <f aca="false">IF(A257="","",IFERROR(MATCH(A257,Paychecks!$B$2:$B$27,1),""))</f>
        <v/>
      </c>
    </row>
    <row r="258" customFormat="false" ht="15" hidden="false" customHeight="false" outlineLevel="0" collapsed="false">
      <c r="A258" s="6"/>
      <c r="B258" s="5"/>
      <c r="C258" s="5"/>
      <c r="D258" s="7"/>
      <c r="E258" s="9" t="str">
        <f aca="false">IF(A258="","",IFERROR(MATCH(A258,Paychecks!$B$2:$B$27,1),""))</f>
        <v/>
      </c>
    </row>
    <row r="259" customFormat="false" ht="15" hidden="false" customHeight="false" outlineLevel="0" collapsed="false">
      <c r="A259" s="6"/>
      <c r="B259" s="5"/>
      <c r="C259" s="5"/>
      <c r="D259" s="7"/>
      <c r="E259" s="9" t="str">
        <f aca="false">IF(A259="","",IFERROR(MATCH(A259,Paychecks!$B$2:$B$27,1),""))</f>
        <v/>
      </c>
    </row>
    <row r="260" customFormat="false" ht="15" hidden="false" customHeight="false" outlineLevel="0" collapsed="false">
      <c r="A260" s="6"/>
      <c r="B260" s="5"/>
      <c r="C260" s="5"/>
      <c r="D260" s="7"/>
      <c r="E260" s="9" t="str">
        <f aca="false">IF(A260="","",IFERROR(MATCH(A260,Paychecks!$B$2:$B$27,1),""))</f>
        <v/>
      </c>
    </row>
    <row r="261" customFormat="false" ht="15" hidden="false" customHeight="false" outlineLevel="0" collapsed="false">
      <c r="A261" s="6"/>
      <c r="B261" s="5"/>
      <c r="C261" s="5"/>
      <c r="D261" s="7"/>
      <c r="E261" s="9" t="str">
        <f aca="false">IF(A261="","",IFERROR(MATCH(A261,Paychecks!$B$2:$B$27,1),""))</f>
        <v/>
      </c>
    </row>
    <row r="262" customFormat="false" ht="15" hidden="false" customHeight="false" outlineLevel="0" collapsed="false">
      <c r="A262" s="6"/>
      <c r="B262" s="5"/>
      <c r="C262" s="5"/>
      <c r="D262" s="7"/>
      <c r="E262" s="9" t="str">
        <f aca="false">IF(A262="","",IFERROR(MATCH(A262,Paychecks!$B$2:$B$27,1),""))</f>
        <v/>
      </c>
    </row>
    <row r="263" customFormat="false" ht="15" hidden="false" customHeight="false" outlineLevel="0" collapsed="false">
      <c r="A263" s="6"/>
      <c r="B263" s="5"/>
      <c r="C263" s="5"/>
      <c r="D263" s="7"/>
      <c r="E263" s="9" t="str">
        <f aca="false">IF(A263="","",IFERROR(MATCH(A263,Paychecks!$B$2:$B$27,1),""))</f>
        <v/>
      </c>
    </row>
    <row r="264" customFormat="false" ht="15" hidden="false" customHeight="false" outlineLevel="0" collapsed="false">
      <c r="A264" s="6"/>
      <c r="B264" s="5"/>
      <c r="C264" s="5"/>
      <c r="D264" s="7"/>
      <c r="E264" s="9" t="str">
        <f aca="false">IF(A264="","",IFERROR(MATCH(A264,Paychecks!$B$2:$B$27,1),""))</f>
        <v/>
      </c>
    </row>
    <row r="265" customFormat="false" ht="15" hidden="false" customHeight="false" outlineLevel="0" collapsed="false">
      <c r="A265" s="6"/>
      <c r="B265" s="5"/>
      <c r="C265" s="5"/>
      <c r="D265" s="7"/>
      <c r="E265" s="9" t="str">
        <f aca="false">IF(A265="","",IFERROR(MATCH(A265,Paychecks!$B$2:$B$27,1),""))</f>
        <v/>
      </c>
    </row>
    <row r="266" customFormat="false" ht="15" hidden="false" customHeight="false" outlineLevel="0" collapsed="false">
      <c r="A266" s="6"/>
      <c r="B266" s="5"/>
      <c r="C266" s="5"/>
      <c r="D266" s="7"/>
      <c r="E266" s="9" t="str">
        <f aca="false">IF(A266="","",IFERROR(MATCH(A266,Paychecks!$B$2:$B$27,1),""))</f>
        <v/>
      </c>
    </row>
    <row r="267" customFormat="false" ht="15" hidden="false" customHeight="false" outlineLevel="0" collapsed="false">
      <c r="A267" s="6"/>
      <c r="B267" s="5"/>
      <c r="C267" s="5"/>
      <c r="D267" s="7"/>
      <c r="E267" s="9" t="str">
        <f aca="false">IF(A267="","",IFERROR(MATCH(A267,Paychecks!$B$2:$B$27,1),""))</f>
        <v/>
      </c>
    </row>
    <row r="268" customFormat="false" ht="15" hidden="false" customHeight="false" outlineLevel="0" collapsed="false">
      <c r="A268" s="6"/>
      <c r="B268" s="5"/>
      <c r="C268" s="5"/>
      <c r="D268" s="7"/>
      <c r="E268" s="9" t="str">
        <f aca="false">IF(A268="","",IFERROR(MATCH(A268,Paychecks!$B$2:$B$27,1),""))</f>
        <v/>
      </c>
    </row>
    <row r="269" customFormat="false" ht="15" hidden="false" customHeight="false" outlineLevel="0" collapsed="false">
      <c r="A269" s="6"/>
      <c r="B269" s="5"/>
      <c r="C269" s="5"/>
      <c r="D269" s="7"/>
      <c r="E269" s="9" t="str">
        <f aca="false">IF(A269="","",IFERROR(MATCH(A269,Paychecks!$B$2:$B$27,1),""))</f>
        <v/>
      </c>
    </row>
    <row r="270" customFormat="false" ht="15" hidden="false" customHeight="false" outlineLevel="0" collapsed="false">
      <c r="A270" s="6"/>
      <c r="B270" s="5"/>
      <c r="C270" s="5"/>
      <c r="D270" s="7"/>
      <c r="E270" s="9" t="str">
        <f aca="false">IF(A270="","",IFERROR(MATCH(A270,Paychecks!$B$2:$B$27,1),""))</f>
        <v/>
      </c>
    </row>
    <row r="271" customFormat="false" ht="15" hidden="false" customHeight="false" outlineLevel="0" collapsed="false">
      <c r="A271" s="6"/>
      <c r="B271" s="5"/>
      <c r="C271" s="5"/>
      <c r="D271" s="7"/>
      <c r="E271" s="9" t="str">
        <f aca="false">IF(A271="","",IFERROR(MATCH(A271,Paychecks!$B$2:$B$27,1),""))</f>
        <v/>
      </c>
    </row>
    <row r="272" customFormat="false" ht="15" hidden="false" customHeight="false" outlineLevel="0" collapsed="false">
      <c r="A272" s="6"/>
      <c r="B272" s="5"/>
      <c r="C272" s="5"/>
      <c r="D272" s="7"/>
      <c r="E272" s="9" t="str">
        <f aca="false">IF(A272="","",IFERROR(MATCH(A272,Paychecks!$B$2:$B$27,1),""))</f>
        <v/>
      </c>
    </row>
    <row r="273" customFormat="false" ht="15" hidden="false" customHeight="false" outlineLevel="0" collapsed="false">
      <c r="A273" s="6"/>
      <c r="B273" s="5"/>
      <c r="C273" s="5"/>
      <c r="D273" s="7"/>
      <c r="E273" s="9" t="str">
        <f aca="false">IF(A273="","",IFERROR(MATCH(A273,Paychecks!$B$2:$B$27,1),""))</f>
        <v/>
      </c>
    </row>
    <row r="274" customFormat="false" ht="15" hidden="false" customHeight="false" outlineLevel="0" collapsed="false">
      <c r="A274" s="6"/>
      <c r="B274" s="5"/>
      <c r="C274" s="5"/>
      <c r="D274" s="7"/>
      <c r="E274" s="9" t="str">
        <f aca="false">IF(A274="","",IFERROR(MATCH(A274,Paychecks!$B$2:$B$27,1),""))</f>
        <v/>
      </c>
    </row>
    <row r="275" customFormat="false" ht="15" hidden="false" customHeight="false" outlineLevel="0" collapsed="false">
      <c r="A275" s="6"/>
      <c r="B275" s="5"/>
      <c r="C275" s="5"/>
      <c r="D275" s="7"/>
      <c r="E275" s="9" t="str">
        <f aca="false">IF(A275="","",IFERROR(MATCH(A275,Paychecks!$B$2:$B$27,1),""))</f>
        <v/>
      </c>
    </row>
    <row r="276" customFormat="false" ht="15" hidden="false" customHeight="false" outlineLevel="0" collapsed="false">
      <c r="A276" s="6"/>
      <c r="B276" s="5"/>
      <c r="C276" s="5"/>
      <c r="D276" s="7"/>
      <c r="E276" s="9" t="str">
        <f aca="false">IF(A276="","",IFERROR(MATCH(A276,Paychecks!$B$2:$B$27,1),""))</f>
        <v/>
      </c>
    </row>
    <row r="277" customFormat="false" ht="15" hidden="false" customHeight="false" outlineLevel="0" collapsed="false">
      <c r="A277" s="6"/>
      <c r="B277" s="5"/>
      <c r="C277" s="5"/>
      <c r="D277" s="7"/>
      <c r="E277" s="9" t="str">
        <f aca="false">IF(A277="","",IFERROR(MATCH(A277,Paychecks!$B$2:$B$27,1),""))</f>
        <v/>
      </c>
    </row>
    <row r="278" customFormat="false" ht="15" hidden="false" customHeight="false" outlineLevel="0" collapsed="false">
      <c r="A278" s="6"/>
      <c r="B278" s="5"/>
      <c r="C278" s="5"/>
      <c r="D278" s="7"/>
      <c r="E278" s="9" t="str">
        <f aca="false">IF(A278="","",IFERROR(MATCH(A278,Paychecks!$B$2:$B$27,1),""))</f>
        <v/>
      </c>
    </row>
    <row r="279" customFormat="false" ht="15" hidden="false" customHeight="false" outlineLevel="0" collapsed="false">
      <c r="A279" s="6"/>
      <c r="B279" s="5"/>
      <c r="C279" s="5"/>
      <c r="D279" s="7"/>
      <c r="E279" s="9" t="str">
        <f aca="false">IF(A279="","",IFERROR(MATCH(A279,Paychecks!$B$2:$B$27,1),""))</f>
        <v/>
      </c>
    </row>
    <row r="280" customFormat="false" ht="15" hidden="false" customHeight="false" outlineLevel="0" collapsed="false">
      <c r="A280" s="6"/>
      <c r="B280" s="5"/>
      <c r="C280" s="5"/>
      <c r="D280" s="7"/>
      <c r="E280" s="9" t="str">
        <f aca="false">IF(A280="","",IFERROR(MATCH(A280,Paychecks!$B$2:$B$27,1),""))</f>
        <v/>
      </c>
    </row>
    <row r="281" customFormat="false" ht="15" hidden="false" customHeight="false" outlineLevel="0" collapsed="false">
      <c r="A281" s="6"/>
      <c r="B281" s="5"/>
      <c r="C281" s="5"/>
      <c r="D281" s="7"/>
      <c r="E281" s="9" t="str">
        <f aca="false">IF(A281="","",IFERROR(MATCH(A281,Paychecks!$B$2:$B$27,1),""))</f>
        <v/>
      </c>
    </row>
    <row r="282" customFormat="false" ht="15" hidden="false" customHeight="false" outlineLevel="0" collapsed="false">
      <c r="A282" s="6"/>
      <c r="B282" s="5"/>
      <c r="C282" s="5"/>
      <c r="D282" s="7"/>
      <c r="E282" s="9" t="str">
        <f aca="false">IF(A282="","",IFERROR(MATCH(A282,Paychecks!$B$2:$B$27,1),""))</f>
        <v/>
      </c>
    </row>
    <row r="283" customFormat="false" ht="15" hidden="false" customHeight="false" outlineLevel="0" collapsed="false">
      <c r="A283" s="6"/>
      <c r="B283" s="5"/>
      <c r="C283" s="5"/>
      <c r="D283" s="7"/>
      <c r="E283" s="9" t="str">
        <f aca="false">IF(A283="","",IFERROR(MATCH(A283,Paychecks!$B$2:$B$27,1),""))</f>
        <v/>
      </c>
    </row>
    <row r="284" customFormat="false" ht="15" hidden="false" customHeight="false" outlineLevel="0" collapsed="false">
      <c r="A284" s="6"/>
      <c r="B284" s="5"/>
      <c r="C284" s="5"/>
      <c r="D284" s="7"/>
      <c r="E284" s="9" t="str">
        <f aca="false">IF(A284="","",IFERROR(MATCH(A284,Paychecks!$B$2:$B$27,1),""))</f>
        <v/>
      </c>
    </row>
    <row r="285" customFormat="false" ht="15" hidden="false" customHeight="false" outlineLevel="0" collapsed="false">
      <c r="A285" s="6"/>
      <c r="B285" s="5"/>
      <c r="C285" s="5"/>
      <c r="D285" s="7"/>
      <c r="E285" s="9" t="str">
        <f aca="false">IF(A285="","",IFERROR(MATCH(A285,Paychecks!$B$2:$B$27,1),""))</f>
        <v/>
      </c>
    </row>
    <row r="286" customFormat="false" ht="15" hidden="false" customHeight="false" outlineLevel="0" collapsed="false">
      <c r="A286" s="6"/>
      <c r="B286" s="5"/>
      <c r="C286" s="5"/>
      <c r="D286" s="7"/>
      <c r="E286" s="9" t="str">
        <f aca="false">IF(A286="","",IFERROR(MATCH(A286,Paychecks!$B$2:$B$27,1),""))</f>
        <v/>
      </c>
    </row>
    <row r="287" customFormat="false" ht="15" hidden="false" customHeight="false" outlineLevel="0" collapsed="false">
      <c r="A287" s="6"/>
      <c r="B287" s="5"/>
      <c r="C287" s="5"/>
      <c r="D287" s="7"/>
      <c r="E287" s="9" t="str">
        <f aca="false">IF(A287="","",IFERROR(MATCH(A287,Paychecks!$B$2:$B$27,1),""))</f>
        <v/>
      </c>
    </row>
    <row r="288" customFormat="false" ht="15" hidden="false" customHeight="false" outlineLevel="0" collapsed="false">
      <c r="A288" s="6"/>
      <c r="B288" s="5"/>
      <c r="C288" s="5"/>
      <c r="D288" s="7"/>
      <c r="E288" s="9" t="str">
        <f aca="false">IF(A288="","",IFERROR(MATCH(A288,Paychecks!$B$2:$B$27,1),""))</f>
        <v/>
      </c>
    </row>
    <row r="289" customFormat="false" ht="15" hidden="false" customHeight="false" outlineLevel="0" collapsed="false">
      <c r="A289" s="6"/>
      <c r="B289" s="5"/>
      <c r="C289" s="5"/>
      <c r="D289" s="7"/>
      <c r="E289" s="9" t="str">
        <f aca="false">IF(A289="","",IFERROR(MATCH(A289,Paychecks!$B$2:$B$27,1),""))</f>
        <v/>
      </c>
    </row>
    <row r="290" customFormat="false" ht="15" hidden="false" customHeight="false" outlineLevel="0" collapsed="false">
      <c r="A290" s="6"/>
      <c r="B290" s="5"/>
      <c r="C290" s="5"/>
      <c r="D290" s="7"/>
      <c r="E290" s="9" t="str">
        <f aca="false">IF(A290="","",IFERROR(MATCH(A290,Paychecks!$B$2:$B$27,1),""))</f>
        <v/>
      </c>
    </row>
    <row r="291" customFormat="false" ht="15" hidden="false" customHeight="false" outlineLevel="0" collapsed="false">
      <c r="A291" s="6"/>
      <c r="B291" s="5"/>
      <c r="C291" s="5"/>
      <c r="D291" s="7"/>
      <c r="E291" s="9" t="str">
        <f aca="false">IF(A291="","",IFERROR(MATCH(A291,Paychecks!$B$2:$B$27,1),""))</f>
        <v/>
      </c>
    </row>
    <row r="292" customFormat="false" ht="15" hidden="false" customHeight="false" outlineLevel="0" collapsed="false">
      <c r="A292" s="6"/>
      <c r="B292" s="5"/>
      <c r="C292" s="5"/>
      <c r="D292" s="7"/>
      <c r="E292" s="9" t="str">
        <f aca="false">IF(A292="","",IFERROR(MATCH(A292,Paychecks!$B$2:$B$27,1),""))</f>
        <v/>
      </c>
    </row>
    <row r="293" customFormat="false" ht="15" hidden="false" customHeight="false" outlineLevel="0" collapsed="false">
      <c r="A293" s="6"/>
      <c r="B293" s="5"/>
      <c r="C293" s="5"/>
      <c r="D293" s="7"/>
      <c r="E293" s="9" t="str">
        <f aca="false">IF(A293="","",IFERROR(MATCH(A293,Paychecks!$B$2:$B$27,1),""))</f>
        <v/>
      </c>
    </row>
    <row r="294" customFormat="false" ht="15" hidden="false" customHeight="false" outlineLevel="0" collapsed="false">
      <c r="A294" s="6"/>
      <c r="B294" s="5"/>
      <c r="C294" s="5"/>
      <c r="D294" s="7"/>
      <c r="E294" s="9" t="str">
        <f aca="false">IF(A294="","",IFERROR(MATCH(A294,Paychecks!$B$2:$B$27,1),""))</f>
        <v/>
      </c>
    </row>
    <row r="295" customFormat="false" ht="15" hidden="false" customHeight="false" outlineLevel="0" collapsed="false">
      <c r="A295" s="6"/>
      <c r="B295" s="5"/>
      <c r="C295" s="5"/>
      <c r="D295" s="7"/>
      <c r="E295" s="9" t="str">
        <f aca="false">IF(A295="","",IFERROR(MATCH(A295,Paychecks!$B$2:$B$27,1),""))</f>
        <v/>
      </c>
    </row>
    <row r="296" customFormat="false" ht="15" hidden="false" customHeight="false" outlineLevel="0" collapsed="false">
      <c r="A296" s="6"/>
      <c r="B296" s="5"/>
      <c r="C296" s="5"/>
      <c r="D296" s="7"/>
      <c r="E296" s="9" t="str">
        <f aca="false">IF(A296="","",IFERROR(MATCH(A296,Paychecks!$B$2:$B$27,1),""))</f>
        <v/>
      </c>
    </row>
    <row r="297" customFormat="false" ht="15" hidden="false" customHeight="false" outlineLevel="0" collapsed="false">
      <c r="A297" s="6"/>
      <c r="B297" s="5"/>
      <c r="C297" s="5"/>
      <c r="D297" s="7"/>
      <c r="E297" s="9" t="str">
        <f aca="false">IF(A297="","",IFERROR(MATCH(A297,Paychecks!$B$2:$B$27,1),""))</f>
        <v/>
      </c>
    </row>
    <row r="298" customFormat="false" ht="15" hidden="false" customHeight="false" outlineLevel="0" collapsed="false">
      <c r="A298" s="6"/>
      <c r="B298" s="5"/>
      <c r="C298" s="5"/>
      <c r="D298" s="7"/>
      <c r="E298" s="9" t="str">
        <f aca="false">IF(A298="","",IFERROR(MATCH(A298,Paychecks!$B$2:$B$27,1),""))</f>
        <v/>
      </c>
    </row>
    <row r="299" customFormat="false" ht="15" hidden="false" customHeight="false" outlineLevel="0" collapsed="false">
      <c r="A299" s="6"/>
      <c r="B299" s="5"/>
      <c r="C299" s="5"/>
      <c r="D299" s="7"/>
      <c r="E299" s="9" t="str">
        <f aca="false">IF(A299="","",IFERROR(MATCH(A299,Paychecks!$B$2:$B$27,1),""))</f>
        <v/>
      </c>
    </row>
    <row r="300" customFormat="false" ht="15" hidden="false" customHeight="false" outlineLevel="0" collapsed="false">
      <c r="A300" s="6"/>
      <c r="B300" s="5"/>
      <c r="C300" s="5"/>
      <c r="D300" s="7"/>
      <c r="E300" s="9" t="str">
        <f aca="false">IF(A300="","",IFERROR(MATCH(A300,Paychecks!$B$2:$B$27,1),""))</f>
        <v/>
      </c>
    </row>
    <row r="301" customFormat="false" ht="15" hidden="false" customHeight="false" outlineLevel="0" collapsed="false">
      <c r="A301" s="6"/>
      <c r="B301" s="5"/>
      <c r="C301" s="5"/>
      <c r="D301" s="7"/>
      <c r="E301" s="9" t="str">
        <f aca="false">IF(A301="","",IFERROR(MATCH(A301,Paychecks!$B$2:$B$27,1),""))</f>
        <v/>
      </c>
    </row>
  </sheetData>
  <dataValidations count="1">
    <dataValidation allowBlank="true" errorStyle="stop" operator="between" showDropDown="false" showErrorMessage="false" showInputMessage="false" sqref="C2:C301" type="list">
      <formula1>Categories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5"/>
  </cols>
  <sheetData>
    <row r="1" customFormat="false" ht="19.7" hidden="false" customHeight="false" outlineLevel="0" collapsed="false">
      <c r="A1" s="1" t="s">
        <v>61</v>
      </c>
    </row>
    <row r="3" customFormat="false" ht="15" hidden="false" customHeight="false" outlineLevel="0" collapsed="false">
      <c r="A3" s="18" t="s">
        <v>62</v>
      </c>
      <c r="B3" s="18" t="s">
        <v>63</v>
      </c>
      <c r="C3" s="18" t="s">
        <v>64</v>
      </c>
      <c r="D3" s="18" t="s">
        <v>65</v>
      </c>
    </row>
    <row r="4" customFormat="false" ht="15" hidden="false" customHeight="false" outlineLevel="0" collapsed="false">
      <c r="A4" s="19" t="n">
        <f aca="false">SUM(Paychecks!D2:D27)</f>
        <v>2000</v>
      </c>
      <c r="B4" s="19" t="n">
        <f aca="false">SUM(Paychecks!E2:E27)</f>
        <v>1200</v>
      </c>
      <c r="C4" s="19" t="n">
        <f aca="false">SUM(Paychecks!F2:F27)</f>
        <v>84.5</v>
      </c>
      <c r="D4" s="19" t="n">
        <f aca="false">SUM(Paychecks!H2:H27)</f>
        <v>1915.5</v>
      </c>
    </row>
    <row r="6" customFormat="false" ht="15" hidden="false" customHeight="false" outlineLevel="0" collapsed="false">
      <c r="A6" s="3" t="s">
        <v>66</v>
      </c>
    </row>
    <row r="7" customFormat="false" ht="15" hidden="false" customHeight="false" outlineLevel="0" collapsed="false">
      <c r="A7" s="20" t="s">
        <v>53</v>
      </c>
      <c r="B7" s="20" t="s">
        <v>67</v>
      </c>
      <c r="C7" s="20" t="s">
        <v>68</v>
      </c>
      <c r="D7" s="20" t="s">
        <v>69</v>
      </c>
    </row>
    <row r="8" customFormat="false" ht="15" hidden="false" customHeight="false" outlineLevel="0" collapsed="false">
      <c r="A8" s="4" t="str">
        <f aca="false">IF(Setup!A11="","",Setup!A11)</f>
        <v>Rent / Mortgage</v>
      </c>
      <c r="B8" s="11" t="n">
        <f aca="false">IF($A8="","",SUMIFS(Plan!$D:$D,Plan!$C:$C,$A8))</f>
        <v>1200</v>
      </c>
      <c r="C8" s="11" t="n">
        <f aca="false">IF($A8="","",SUMIFS(Spending!$D:$D,Spending!$C:$C,$A8))</f>
        <v>0</v>
      </c>
      <c r="D8" s="11" t="n">
        <f aca="false">IF($A8="","",B8-C8)</f>
        <v>1200</v>
      </c>
    </row>
    <row r="9" customFormat="false" ht="15" hidden="false" customHeight="false" outlineLevel="0" collapsed="false">
      <c r="A9" s="4" t="str">
        <f aca="false">IF(Setup!A12="","",Setup!A12)</f>
        <v>Utilities</v>
      </c>
      <c r="B9" s="11" t="n">
        <f aca="false">IF($A9="","",SUMIFS(Plan!$D:$D,Plan!$C:$C,$A9))</f>
        <v>0</v>
      </c>
      <c r="C9" s="11" t="n">
        <f aca="false">IF($A9="","",SUMIFS(Spending!$D:$D,Spending!$C:$C,$A9))</f>
        <v>0</v>
      </c>
      <c r="D9" s="11" t="n">
        <f aca="false">IF($A9="","",B9-C9)</f>
        <v>0</v>
      </c>
    </row>
    <row r="10" customFormat="false" ht="15" hidden="false" customHeight="false" outlineLevel="0" collapsed="false">
      <c r="A10" s="4" t="str">
        <f aca="false">IF(Setup!A13="","",Setup!A13)</f>
        <v>Groceries</v>
      </c>
      <c r="B10" s="11" t="n">
        <f aca="false">IF($A10="","",SUMIFS(Plan!$D:$D,Plan!$C:$C,$A10))</f>
        <v>0</v>
      </c>
      <c r="C10" s="11" t="n">
        <f aca="false">IF($A10="","",SUMIFS(Spending!$D:$D,Spending!$C:$C,$A10))</f>
        <v>84.5</v>
      </c>
      <c r="D10" s="11" t="n">
        <f aca="false">IF($A10="","",B10-C10)</f>
        <v>-84.5</v>
      </c>
    </row>
    <row r="11" customFormat="false" ht="15" hidden="false" customHeight="false" outlineLevel="0" collapsed="false">
      <c r="A11" s="4" t="str">
        <f aca="false">IF(Setup!A14="","",Setup!A14)</f>
        <v>Transport</v>
      </c>
      <c r="B11" s="11" t="n">
        <f aca="false">IF($A11="","",SUMIFS(Plan!$D:$D,Plan!$C:$C,$A11))</f>
        <v>0</v>
      </c>
      <c r="C11" s="11" t="n">
        <f aca="false">IF($A11="","",SUMIFS(Spending!$D:$D,Spending!$C:$C,$A11))</f>
        <v>0</v>
      </c>
      <c r="D11" s="11" t="n">
        <f aca="false">IF($A11="","",B11-C11)</f>
        <v>0</v>
      </c>
    </row>
    <row r="12" customFormat="false" ht="15" hidden="false" customHeight="false" outlineLevel="0" collapsed="false">
      <c r="A12" s="4" t="str">
        <f aca="false">IF(Setup!A15="","",Setup!A15)</f>
        <v>Insurance</v>
      </c>
      <c r="B12" s="11" t="n">
        <f aca="false">IF($A12="","",SUMIFS(Plan!$D:$D,Plan!$C:$C,$A12))</f>
        <v>0</v>
      </c>
      <c r="C12" s="11" t="n">
        <f aca="false">IF($A12="","",SUMIFS(Spending!$D:$D,Spending!$C:$C,$A12))</f>
        <v>0</v>
      </c>
      <c r="D12" s="11" t="n">
        <f aca="false">IF($A12="","",B12-C12)</f>
        <v>0</v>
      </c>
    </row>
    <row r="13" customFormat="false" ht="15" hidden="false" customHeight="false" outlineLevel="0" collapsed="false">
      <c r="A13" s="4" t="str">
        <f aca="false">IF(Setup!A16="","",Setup!A16)</f>
        <v>Debt Payments</v>
      </c>
      <c r="B13" s="11" t="n">
        <f aca="false">IF($A13="","",SUMIFS(Plan!$D:$D,Plan!$C:$C,$A13))</f>
        <v>0</v>
      </c>
      <c r="C13" s="11" t="n">
        <f aca="false">IF($A13="","",SUMIFS(Spending!$D:$D,Spending!$C:$C,$A13))</f>
        <v>0</v>
      </c>
      <c r="D13" s="11" t="n">
        <f aca="false">IF($A13="","",B13-C13)</f>
        <v>0</v>
      </c>
    </row>
    <row r="14" customFormat="false" ht="15" hidden="false" customHeight="false" outlineLevel="0" collapsed="false">
      <c r="A14" s="4" t="str">
        <f aca="false">IF(Setup!A17="","",Setup!A17)</f>
        <v>Subscriptions</v>
      </c>
      <c r="B14" s="11" t="n">
        <f aca="false">IF($A14="","",SUMIFS(Plan!$D:$D,Plan!$C:$C,$A14))</f>
        <v>0</v>
      </c>
      <c r="C14" s="11" t="n">
        <f aca="false">IF($A14="","",SUMIFS(Spending!$D:$D,Spending!$C:$C,$A14))</f>
        <v>0</v>
      </c>
      <c r="D14" s="11" t="n">
        <f aca="false">IF($A14="","",B14-C14)</f>
        <v>0</v>
      </c>
    </row>
    <row r="15" customFormat="false" ht="15" hidden="false" customHeight="false" outlineLevel="0" collapsed="false">
      <c r="A15" s="4" t="str">
        <f aca="false">IF(Setup!A18="","",Setup!A18)</f>
        <v>Dining Out</v>
      </c>
      <c r="B15" s="11" t="n">
        <f aca="false">IF($A15="","",SUMIFS(Plan!$D:$D,Plan!$C:$C,$A15))</f>
        <v>0</v>
      </c>
      <c r="C15" s="11" t="n">
        <f aca="false">IF($A15="","",SUMIFS(Spending!$D:$D,Spending!$C:$C,$A15))</f>
        <v>0</v>
      </c>
      <c r="D15" s="11" t="n">
        <f aca="false">IF($A15="","",B15-C15)</f>
        <v>0</v>
      </c>
    </row>
    <row r="16" customFormat="false" ht="15" hidden="false" customHeight="false" outlineLevel="0" collapsed="false">
      <c r="A16" s="4" t="str">
        <f aca="false">IF(Setup!A19="","",Setup!A19)</f>
        <v>Health</v>
      </c>
      <c r="B16" s="11" t="n">
        <f aca="false">IF($A16="","",SUMIFS(Plan!$D:$D,Plan!$C:$C,$A16))</f>
        <v>0</v>
      </c>
      <c r="C16" s="11" t="n">
        <f aca="false">IF($A16="","",SUMIFS(Spending!$D:$D,Spending!$C:$C,$A16))</f>
        <v>0</v>
      </c>
      <c r="D16" s="11" t="n">
        <f aca="false">IF($A16="","",B16-C16)</f>
        <v>0</v>
      </c>
    </row>
    <row r="17" customFormat="false" ht="15" hidden="false" customHeight="false" outlineLevel="0" collapsed="false">
      <c r="A17" s="4" t="str">
        <f aca="false">IF(Setup!A20="","",Setup!A20)</f>
        <v>Savings</v>
      </c>
      <c r="B17" s="11" t="n">
        <f aca="false">IF($A17="","",SUMIFS(Plan!$D:$D,Plan!$C:$C,$A17))</f>
        <v>0</v>
      </c>
      <c r="C17" s="11" t="n">
        <f aca="false">IF($A17="","",SUMIFS(Spending!$D:$D,Spending!$C:$C,$A17))</f>
        <v>0</v>
      </c>
      <c r="D17" s="11" t="n">
        <f aca="false">IF($A17="","",B17-C17)</f>
        <v>0</v>
      </c>
    </row>
    <row r="18" customFormat="false" ht="15" hidden="false" customHeight="false" outlineLevel="0" collapsed="false">
      <c r="A18" s="4" t="str">
        <f aca="false">IF(Setup!A21="","",Setup!A21)</f>
        <v>Giving</v>
      </c>
      <c r="B18" s="11" t="n">
        <f aca="false">IF($A18="","",SUMIFS(Plan!$D:$D,Plan!$C:$C,$A18))</f>
        <v>0</v>
      </c>
      <c r="C18" s="11" t="n">
        <f aca="false">IF($A18="","",SUMIFS(Spending!$D:$D,Spending!$C:$C,$A18))</f>
        <v>0</v>
      </c>
      <c r="D18" s="11" t="n">
        <f aca="false">IF($A18="","",B18-C18)</f>
        <v>0</v>
      </c>
    </row>
    <row r="19" customFormat="false" ht="15" hidden="false" customHeight="false" outlineLevel="0" collapsed="false">
      <c r="A19" s="4" t="str">
        <f aca="false">IF(Setup!A22="","",Setup!A22)</f>
        <v>Fun</v>
      </c>
      <c r="B19" s="11" t="n">
        <f aca="false">IF($A19="","",SUMIFS(Plan!$D:$D,Plan!$C:$C,$A19))</f>
        <v>0</v>
      </c>
      <c r="C19" s="11" t="n">
        <f aca="false">IF($A19="","",SUMIFS(Spending!$D:$D,Spending!$C:$C,$A19))</f>
        <v>0</v>
      </c>
      <c r="D19" s="11" t="n">
        <f aca="false">IF($A19="","",B19-C19)</f>
        <v>0</v>
      </c>
    </row>
    <row r="20" customFormat="false" ht="15" hidden="false" customHeight="false" outlineLevel="0" collapsed="false">
      <c r="A20" s="4" t="str">
        <f aca="false">IF(Setup!A23="","",Setup!A23)</f>
        <v>Kids</v>
      </c>
      <c r="B20" s="11" t="n">
        <f aca="false">IF($A20="","",SUMIFS(Plan!$D:$D,Plan!$C:$C,$A20))</f>
        <v>0</v>
      </c>
      <c r="C20" s="11" t="n">
        <f aca="false">IF($A20="","",SUMIFS(Spending!$D:$D,Spending!$C:$C,$A20))</f>
        <v>0</v>
      </c>
      <c r="D20" s="11" t="n">
        <f aca="false">IF($A20="","",B20-C20)</f>
        <v>0</v>
      </c>
    </row>
    <row r="21" customFormat="false" ht="15" hidden="false" customHeight="false" outlineLevel="0" collapsed="false">
      <c r="A21" s="4" t="str">
        <f aca="false">IF(Setup!A24="","",Setup!A24)</f>
        <v>Pets</v>
      </c>
      <c r="B21" s="11" t="n">
        <f aca="false">IF($A21="","",SUMIFS(Plan!$D:$D,Plan!$C:$C,$A21))</f>
        <v>0</v>
      </c>
      <c r="C21" s="11" t="n">
        <f aca="false">IF($A21="","",SUMIFS(Spending!$D:$D,Spending!$C:$C,$A21))</f>
        <v>0</v>
      </c>
      <c r="D21" s="11" t="n">
        <f aca="false">IF($A21="","",B21-C21)</f>
        <v>0</v>
      </c>
    </row>
    <row r="22" customFormat="false" ht="15" hidden="false" customHeight="false" outlineLevel="0" collapsed="false">
      <c r="A22" s="4" t="str">
        <f aca="false">IF(Setup!A25="","",Setup!A25)</f>
        <v>Misc</v>
      </c>
      <c r="B22" s="11" t="n">
        <f aca="false">IF($A22="","",SUMIFS(Plan!$D:$D,Plan!$C:$C,$A22))</f>
        <v>0</v>
      </c>
      <c r="C22" s="11" t="n">
        <f aca="false">IF($A22="","",SUMIFS(Spending!$D:$D,Spending!$C:$C,$A22))</f>
        <v>0</v>
      </c>
      <c r="D22" s="11" t="n">
        <f aca="false">IF($A22="","",B22-C22)</f>
        <v>0</v>
      </c>
    </row>
    <row r="23" customFormat="false" ht="15" hidden="false" customHeight="false" outlineLevel="0" collapsed="false">
      <c r="A23" s="4" t="str">
        <f aca="false">IF(Setup!A26="","",Setup!A26)</f>
        <v/>
      </c>
      <c r="B23" s="11" t="str">
        <f aca="false">IF($A23="","",SUMIFS(Plan!$D:$D,Plan!$C:$C,$A23))</f>
        <v/>
      </c>
      <c r="C23" s="11" t="str">
        <f aca="false">IF($A23="","",SUMIFS(Spending!$D:$D,Spending!$C:$C,$A23))</f>
        <v/>
      </c>
      <c r="D23" s="11" t="str">
        <f aca="false">IF($A23="","",B23-C23)</f>
        <v/>
      </c>
    </row>
    <row r="24" customFormat="false" ht="15" hidden="false" customHeight="false" outlineLevel="0" collapsed="false">
      <c r="A24" s="4" t="str">
        <f aca="false">IF(Setup!A27="","",Setup!A27)</f>
        <v/>
      </c>
      <c r="B24" s="11" t="str">
        <f aca="false">IF($A24="","",SUMIFS(Plan!$D:$D,Plan!$C:$C,$A24))</f>
        <v/>
      </c>
      <c r="C24" s="11" t="str">
        <f aca="false">IF($A24="","",SUMIFS(Spending!$D:$D,Spending!$C:$C,$A24))</f>
        <v/>
      </c>
      <c r="D24" s="11" t="str">
        <f aca="false">IF($A24="","",B24-C24)</f>
        <v/>
      </c>
    </row>
    <row r="25" customFormat="false" ht="15" hidden="false" customHeight="false" outlineLevel="0" collapsed="false">
      <c r="A25" s="4" t="str">
        <f aca="false">IF(Setup!A28="","",Setup!A28)</f>
        <v/>
      </c>
      <c r="B25" s="11" t="str">
        <f aca="false">IF($A25="","",SUMIFS(Plan!$D:$D,Plan!$C:$C,$A25))</f>
        <v/>
      </c>
      <c r="C25" s="11" t="str">
        <f aca="false">IF($A25="","",SUMIFS(Spending!$D:$D,Spending!$C:$C,$A25))</f>
        <v/>
      </c>
      <c r="D25" s="11" t="str">
        <f aca="false">IF($A25="","",B25-C25)</f>
        <v/>
      </c>
    </row>
    <row r="26" customFormat="false" ht="15" hidden="false" customHeight="false" outlineLevel="0" collapsed="false">
      <c r="A26" s="4" t="str">
        <f aca="false">IF(Setup!A29="","",Setup!A29)</f>
        <v/>
      </c>
      <c r="B26" s="11" t="str">
        <f aca="false">IF($A26="","",SUMIFS(Plan!$D:$D,Plan!$C:$C,$A26))</f>
        <v/>
      </c>
      <c r="C26" s="11" t="str">
        <f aca="false">IF($A26="","",SUMIFS(Spending!$D:$D,Spending!$C:$C,$A26))</f>
        <v/>
      </c>
      <c r="D26" s="11" t="str">
        <f aca="false">IF($A26="","",B26-C26)</f>
        <v/>
      </c>
    </row>
    <row r="27" customFormat="false" ht="15" hidden="false" customHeight="false" outlineLevel="0" collapsed="false">
      <c r="A27" s="4" t="str">
        <f aca="false">IF(Setup!A30="","",Setup!A30)</f>
        <v/>
      </c>
      <c r="B27" s="11" t="str">
        <f aca="false">IF($A27="","",SUMIFS(Plan!$D:$D,Plan!$C:$C,$A27))</f>
        <v/>
      </c>
      <c r="C27" s="11" t="str">
        <f aca="false">IF($A27="","",SUMIFS(Spending!$D:$D,Spending!$C:$C,$A27))</f>
        <v/>
      </c>
      <c r="D27" s="11" t="str">
        <f aca="false">IF($A27="","",B27-C27)</f>
        <v/>
      </c>
    </row>
    <row r="30" customFormat="false" ht="15" hidden="false" customHeight="false" outlineLevel="0" collapsed="false">
      <c r="A30" s="3" t="s">
        <v>70</v>
      </c>
    </row>
    <row r="31" customFormat="false" ht="15" hidden="false" customHeight="false" outlineLevel="0" collapsed="false">
      <c r="A31" s="20" t="s">
        <v>43</v>
      </c>
      <c r="B31" s="20" t="s">
        <v>44</v>
      </c>
      <c r="C31" s="20" t="s">
        <v>71</v>
      </c>
      <c r="D31" s="20" t="s">
        <v>67</v>
      </c>
      <c r="E31" s="20" t="s">
        <v>68</v>
      </c>
      <c r="F31" s="20" t="s">
        <v>72</v>
      </c>
    </row>
    <row r="32" customFormat="false" ht="15" hidden="false" customHeight="false" outlineLevel="0" collapsed="false">
      <c r="A32" s="4" t="n">
        <f aca="false">Paychecks!A2</f>
        <v>1</v>
      </c>
      <c r="B32" s="10" t="n">
        <f aca="false">Paychecks!B2</f>
        <v>46269</v>
      </c>
      <c r="C32" s="11" t="n">
        <f aca="false">Paychecks!D2</f>
        <v>2000</v>
      </c>
      <c r="D32" s="11" t="n">
        <f aca="false">Paychecks!E2</f>
        <v>1200</v>
      </c>
      <c r="E32" s="11" t="n">
        <f aca="false">Paychecks!F2</f>
        <v>84.5</v>
      </c>
      <c r="F32" s="11" t="n">
        <f aca="false">Paychecks!H2</f>
        <v>1915.5</v>
      </c>
    </row>
    <row r="33" customFormat="false" ht="15" hidden="false" customHeight="false" outlineLevel="0" collapsed="false">
      <c r="A33" s="4" t="n">
        <f aca="false">Paychecks!A3</f>
        <v>2</v>
      </c>
      <c r="B33" s="10" t="n">
        <f aca="false">Paychecks!B3</f>
        <v>46283</v>
      </c>
      <c r="C33" s="11" t="n">
        <f aca="false">Paychecks!D3</f>
        <v>0</v>
      </c>
      <c r="D33" s="11" t="n">
        <f aca="false">Paychecks!E3</f>
        <v>0</v>
      </c>
      <c r="E33" s="11" t="n">
        <f aca="false">Paychecks!F3</f>
        <v>0</v>
      </c>
      <c r="F33" s="11" t="n">
        <f aca="false">Paychecks!H3</f>
        <v>0</v>
      </c>
    </row>
    <row r="34" customFormat="false" ht="15" hidden="false" customHeight="false" outlineLevel="0" collapsed="false">
      <c r="A34" s="4" t="n">
        <f aca="false">Paychecks!A4</f>
        <v>3</v>
      </c>
      <c r="B34" s="10" t="n">
        <f aca="false">Paychecks!B4</f>
        <v>46297</v>
      </c>
      <c r="C34" s="11" t="n">
        <f aca="false">Paychecks!D4</f>
        <v>0</v>
      </c>
      <c r="D34" s="11" t="n">
        <f aca="false">Paychecks!E4</f>
        <v>0</v>
      </c>
      <c r="E34" s="11" t="n">
        <f aca="false">Paychecks!F4</f>
        <v>0</v>
      </c>
      <c r="F34" s="11" t="n">
        <f aca="false">Paychecks!H4</f>
        <v>0</v>
      </c>
    </row>
    <row r="35" customFormat="false" ht="15" hidden="false" customHeight="false" outlineLevel="0" collapsed="false">
      <c r="A35" s="4" t="n">
        <f aca="false">Paychecks!A5</f>
        <v>4</v>
      </c>
      <c r="B35" s="10" t="n">
        <f aca="false">Paychecks!B5</f>
        <v>46311</v>
      </c>
      <c r="C35" s="11" t="n">
        <f aca="false">Paychecks!D5</f>
        <v>0</v>
      </c>
      <c r="D35" s="11" t="n">
        <f aca="false">Paychecks!E5</f>
        <v>0</v>
      </c>
      <c r="E35" s="11" t="n">
        <f aca="false">Paychecks!F5</f>
        <v>0</v>
      </c>
      <c r="F35" s="11" t="n">
        <f aca="false">Paychecks!H5</f>
        <v>0</v>
      </c>
    </row>
    <row r="36" customFormat="false" ht="15" hidden="false" customHeight="false" outlineLevel="0" collapsed="false">
      <c r="A36" s="4" t="n">
        <f aca="false">Paychecks!A6</f>
        <v>5</v>
      </c>
      <c r="B36" s="10" t="n">
        <f aca="false">Paychecks!B6</f>
        <v>46325</v>
      </c>
      <c r="C36" s="11" t="n">
        <f aca="false">Paychecks!D6</f>
        <v>0</v>
      </c>
      <c r="D36" s="11" t="n">
        <f aca="false">Paychecks!E6</f>
        <v>0</v>
      </c>
      <c r="E36" s="11" t="n">
        <f aca="false">Paychecks!F6</f>
        <v>0</v>
      </c>
      <c r="F36" s="11" t="n">
        <f aca="false">Paychecks!H6</f>
        <v>0</v>
      </c>
    </row>
    <row r="37" customFormat="false" ht="15" hidden="false" customHeight="false" outlineLevel="0" collapsed="false">
      <c r="A37" s="4" t="n">
        <f aca="false">Paychecks!A7</f>
        <v>6</v>
      </c>
      <c r="B37" s="10" t="n">
        <f aca="false">Paychecks!B7</f>
        <v>46339</v>
      </c>
      <c r="C37" s="11" t="n">
        <f aca="false">Paychecks!D7</f>
        <v>0</v>
      </c>
      <c r="D37" s="11" t="n">
        <f aca="false">Paychecks!E7</f>
        <v>0</v>
      </c>
      <c r="E37" s="11" t="n">
        <f aca="false">Paychecks!F7</f>
        <v>0</v>
      </c>
      <c r="F37" s="11" t="n">
        <f aca="false">Paychecks!H7</f>
        <v>0</v>
      </c>
    </row>
    <row r="38" customFormat="false" ht="15" hidden="false" customHeight="false" outlineLevel="0" collapsed="false">
      <c r="A38" s="4" t="n">
        <f aca="false">Paychecks!A8</f>
        <v>7</v>
      </c>
      <c r="B38" s="10" t="n">
        <f aca="false">Paychecks!B8</f>
        <v>46353</v>
      </c>
      <c r="C38" s="11" t="n">
        <f aca="false">Paychecks!D8</f>
        <v>0</v>
      </c>
      <c r="D38" s="11" t="n">
        <f aca="false">Paychecks!E8</f>
        <v>0</v>
      </c>
      <c r="E38" s="11" t="n">
        <f aca="false">Paychecks!F8</f>
        <v>0</v>
      </c>
      <c r="F38" s="11" t="n">
        <f aca="false">Paychecks!H8</f>
        <v>0</v>
      </c>
    </row>
    <row r="39" customFormat="false" ht="15" hidden="false" customHeight="false" outlineLevel="0" collapsed="false">
      <c r="A39" s="4" t="n">
        <f aca="false">Paychecks!A9</f>
        <v>8</v>
      </c>
      <c r="B39" s="10" t="n">
        <f aca="false">Paychecks!B9</f>
        <v>46367</v>
      </c>
      <c r="C39" s="11" t="n">
        <f aca="false">Paychecks!D9</f>
        <v>0</v>
      </c>
      <c r="D39" s="11" t="n">
        <f aca="false">Paychecks!E9</f>
        <v>0</v>
      </c>
      <c r="E39" s="11" t="n">
        <f aca="false">Paychecks!F9</f>
        <v>0</v>
      </c>
      <c r="F39" s="11" t="n">
        <f aca="false">Paychecks!H9</f>
        <v>0</v>
      </c>
    </row>
    <row r="40" customFormat="false" ht="15" hidden="false" customHeight="false" outlineLevel="0" collapsed="false">
      <c r="A40" s="4" t="n">
        <f aca="false">Paychecks!A10</f>
        <v>9</v>
      </c>
      <c r="B40" s="10" t="n">
        <f aca="false">Paychecks!B10</f>
        <v>46381</v>
      </c>
      <c r="C40" s="11" t="n">
        <f aca="false">Paychecks!D10</f>
        <v>0</v>
      </c>
      <c r="D40" s="11" t="n">
        <f aca="false">Paychecks!E10</f>
        <v>0</v>
      </c>
      <c r="E40" s="11" t="n">
        <f aca="false">Paychecks!F10</f>
        <v>0</v>
      </c>
      <c r="F40" s="11" t="n">
        <f aca="false">Paychecks!H10</f>
        <v>0</v>
      </c>
    </row>
    <row r="41" customFormat="false" ht="15" hidden="false" customHeight="false" outlineLevel="0" collapsed="false">
      <c r="A41" s="4" t="n">
        <f aca="false">Paychecks!A11</f>
        <v>10</v>
      </c>
      <c r="B41" s="10" t="n">
        <f aca="false">Paychecks!B11</f>
        <v>46395</v>
      </c>
      <c r="C41" s="11" t="n">
        <f aca="false">Paychecks!D11</f>
        <v>0</v>
      </c>
      <c r="D41" s="11" t="n">
        <f aca="false">Paychecks!E11</f>
        <v>0</v>
      </c>
      <c r="E41" s="11" t="n">
        <f aca="false">Paychecks!F11</f>
        <v>0</v>
      </c>
      <c r="F41" s="11" t="n">
        <f aca="false">Paychecks!H11</f>
        <v>0</v>
      </c>
    </row>
    <row r="42" customFormat="false" ht="15" hidden="false" customHeight="false" outlineLevel="0" collapsed="false">
      <c r="A42" s="4" t="n">
        <f aca="false">Paychecks!A12</f>
        <v>11</v>
      </c>
      <c r="B42" s="10" t="n">
        <f aca="false">Paychecks!B12</f>
        <v>46409</v>
      </c>
      <c r="C42" s="11" t="n">
        <f aca="false">Paychecks!D12</f>
        <v>0</v>
      </c>
      <c r="D42" s="11" t="n">
        <f aca="false">Paychecks!E12</f>
        <v>0</v>
      </c>
      <c r="E42" s="11" t="n">
        <f aca="false">Paychecks!F12</f>
        <v>0</v>
      </c>
      <c r="F42" s="11" t="n">
        <f aca="false">Paychecks!H12</f>
        <v>0</v>
      </c>
    </row>
    <row r="43" customFormat="false" ht="15" hidden="false" customHeight="false" outlineLevel="0" collapsed="false">
      <c r="A43" s="4" t="n">
        <f aca="false">Paychecks!A13</f>
        <v>12</v>
      </c>
      <c r="B43" s="10" t="n">
        <f aca="false">Paychecks!B13</f>
        <v>46423</v>
      </c>
      <c r="C43" s="11" t="n">
        <f aca="false">Paychecks!D13</f>
        <v>0</v>
      </c>
      <c r="D43" s="11" t="n">
        <f aca="false">Paychecks!E13</f>
        <v>0</v>
      </c>
      <c r="E43" s="11" t="n">
        <f aca="false">Paychecks!F13</f>
        <v>0</v>
      </c>
      <c r="F43" s="11" t="n">
        <f aca="false">Paychecks!H13</f>
        <v>0</v>
      </c>
    </row>
    <row r="44" customFormat="false" ht="15" hidden="false" customHeight="false" outlineLevel="0" collapsed="false">
      <c r="A44" s="4" t="n">
        <f aca="false">Paychecks!A14</f>
        <v>13</v>
      </c>
      <c r="B44" s="10" t="n">
        <f aca="false">Paychecks!B14</f>
        <v>46437</v>
      </c>
      <c r="C44" s="11" t="n">
        <f aca="false">Paychecks!D14</f>
        <v>0</v>
      </c>
      <c r="D44" s="11" t="n">
        <f aca="false">Paychecks!E14</f>
        <v>0</v>
      </c>
      <c r="E44" s="11" t="n">
        <f aca="false">Paychecks!F14</f>
        <v>0</v>
      </c>
      <c r="F44" s="11" t="n">
        <f aca="false">Paychecks!H14</f>
        <v>0</v>
      </c>
    </row>
    <row r="45" customFormat="false" ht="15" hidden="false" customHeight="false" outlineLevel="0" collapsed="false">
      <c r="A45" s="4" t="n">
        <f aca="false">Paychecks!A15</f>
        <v>14</v>
      </c>
      <c r="B45" s="10" t="n">
        <f aca="false">Paychecks!B15</f>
        <v>46451</v>
      </c>
      <c r="C45" s="11" t="n">
        <f aca="false">Paychecks!D15</f>
        <v>0</v>
      </c>
      <c r="D45" s="11" t="n">
        <f aca="false">Paychecks!E15</f>
        <v>0</v>
      </c>
      <c r="E45" s="11" t="n">
        <f aca="false">Paychecks!F15</f>
        <v>0</v>
      </c>
      <c r="F45" s="11" t="n">
        <f aca="false">Paychecks!H15</f>
        <v>0</v>
      </c>
    </row>
    <row r="46" customFormat="false" ht="15" hidden="false" customHeight="false" outlineLevel="0" collapsed="false">
      <c r="A46" s="4" t="n">
        <f aca="false">Paychecks!A16</f>
        <v>15</v>
      </c>
      <c r="B46" s="10" t="n">
        <f aca="false">Paychecks!B16</f>
        <v>46465</v>
      </c>
      <c r="C46" s="11" t="n">
        <f aca="false">Paychecks!D16</f>
        <v>0</v>
      </c>
      <c r="D46" s="11" t="n">
        <f aca="false">Paychecks!E16</f>
        <v>0</v>
      </c>
      <c r="E46" s="11" t="n">
        <f aca="false">Paychecks!F16</f>
        <v>0</v>
      </c>
      <c r="F46" s="11" t="n">
        <f aca="false">Paychecks!H16</f>
        <v>0</v>
      </c>
    </row>
    <row r="47" customFormat="false" ht="15" hidden="false" customHeight="false" outlineLevel="0" collapsed="false">
      <c r="A47" s="4" t="n">
        <f aca="false">Paychecks!A17</f>
        <v>16</v>
      </c>
      <c r="B47" s="10" t="n">
        <f aca="false">Paychecks!B17</f>
        <v>46479</v>
      </c>
      <c r="C47" s="11" t="n">
        <f aca="false">Paychecks!D17</f>
        <v>0</v>
      </c>
      <c r="D47" s="11" t="n">
        <f aca="false">Paychecks!E17</f>
        <v>0</v>
      </c>
      <c r="E47" s="11" t="n">
        <f aca="false">Paychecks!F17</f>
        <v>0</v>
      </c>
      <c r="F47" s="11" t="n">
        <f aca="false">Paychecks!H17</f>
        <v>0</v>
      </c>
    </row>
    <row r="48" customFormat="false" ht="15" hidden="false" customHeight="false" outlineLevel="0" collapsed="false">
      <c r="A48" s="4" t="n">
        <f aca="false">Paychecks!A18</f>
        <v>17</v>
      </c>
      <c r="B48" s="10" t="n">
        <f aca="false">Paychecks!B18</f>
        <v>46493</v>
      </c>
      <c r="C48" s="11" t="n">
        <f aca="false">Paychecks!D18</f>
        <v>0</v>
      </c>
      <c r="D48" s="11" t="n">
        <f aca="false">Paychecks!E18</f>
        <v>0</v>
      </c>
      <c r="E48" s="11" t="n">
        <f aca="false">Paychecks!F18</f>
        <v>0</v>
      </c>
      <c r="F48" s="11" t="n">
        <f aca="false">Paychecks!H18</f>
        <v>0</v>
      </c>
    </row>
    <row r="49" customFormat="false" ht="15" hidden="false" customHeight="false" outlineLevel="0" collapsed="false">
      <c r="A49" s="4" t="n">
        <f aca="false">Paychecks!A19</f>
        <v>18</v>
      </c>
      <c r="B49" s="10" t="n">
        <f aca="false">Paychecks!B19</f>
        <v>46507</v>
      </c>
      <c r="C49" s="11" t="n">
        <f aca="false">Paychecks!D19</f>
        <v>0</v>
      </c>
      <c r="D49" s="11" t="n">
        <f aca="false">Paychecks!E19</f>
        <v>0</v>
      </c>
      <c r="E49" s="11" t="n">
        <f aca="false">Paychecks!F19</f>
        <v>0</v>
      </c>
      <c r="F49" s="11" t="n">
        <f aca="false">Paychecks!H19</f>
        <v>0</v>
      </c>
    </row>
    <row r="50" customFormat="false" ht="15" hidden="false" customHeight="false" outlineLevel="0" collapsed="false">
      <c r="A50" s="4" t="n">
        <f aca="false">Paychecks!A20</f>
        <v>19</v>
      </c>
      <c r="B50" s="10" t="n">
        <f aca="false">Paychecks!B20</f>
        <v>46521</v>
      </c>
      <c r="C50" s="11" t="n">
        <f aca="false">Paychecks!D20</f>
        <v>0</v>
      </c>
      <c r="D50" s="11" t="n">
        <f aca="false">Paychecks!E20</f>
        <v>0</v>
      </c>
      <c r="E50" s="11" t="n">
        <f aca="false">Paychecks!F20</f>
        <v>0</v>
      </c>
      <c r="F50" s="11" t="n">
        <f aca="false">Paychecks!H20</f>
        <v>0</v>
      </c>
    </row>
    <row r="51" customFormat="false" ht="15" hidden="false" customHeight="false" outlineLevel="0" collapsed="false">
      <c r="A51" s="4" t="n">
        <f aca="false">Paychecks!A21</f>
        <v>20</v>
      </c>
      <c r="B51" s="10" t="n">
        <f aca="false">Paychecks!B21</f>
        <v>46535</v>
      </c>
      <c r="C51" s="11" t="n">
        <f aca="false">Paychecks!D21</f>
        <v>0</v>
      </c>
      <c r="D51" s="11" t="n">
        <f aca="false">Paychecks!E21</f>
        <v>0</v>
      </c>
      <c r="E51" s="11" t="n">
        <f aca="false">Paychecks!F21</f>
        <v>0</v>
      </c>
      <c r="F51" s="11" t="n">
        <f aca="false">Paychecks!H21</f>
        <v>0</v>
      </c>
    </row>
    <row r="52" customFormat="false" ht="15" hidden="false" customHeight="false" outlineLevel="0" collapsed="false">
      <c r="A52" s="4" t="n">
        <f aca="false">Paychecks!A22</f>
        <v>21</v>
      </c>
      <c r="B52" s="10" t="n">
        <f aca="false">Paychecks!B22</f>
        <v>46549</v>
      </c>
      <c r="C52" s="11" t="n">
        <f aca="false">Paychecks!D22</f>
        <v>0</v>
      </c>
      <c r="D52" s="11" t="n">
        <f aca="false">Paychecks!E22</f>
        <v>0</v>
      </c>
      <c r="E52" s="11" t="n">
        <f aca="false">Paychecks!F22</f>
        <v>0</v>
      </c>
      <c r="F52" s="11" t="n">
        <f aca="false">Paychecks!H22</f>
        <v>0</v>
      </c>
    </row>
    <row r="53" customFormat="false" ht="15" hidden="false" customHeight="false" outlineLevel="0" collapsed="false">
      <c r="A53" s="4" t="n">
        <f aca="false">Paychecks!A23</f>
        <v>22</v>
      </c>
      <c r="B53" s="10" t="n">
        <f aca="false">Paychecks!B23</f>
        <v>46563</v>
      </c>
      <c r="C53" s="11" t="n">
        <f aca="false">Paychecks!D23</f>
        <v>0</v>
      </c>
      <c r="D53" s="11" t="n">
        <f aca="false">Paychecks!E23</f>
        <v>0</v>
      </c>
      <c r="E53" s="11" t="n">
        <f aca="false">Paychecks!F23</f>
        <v>0</v>
      </c>
      <c r="F53" s="11" t="n">
        <f aca="false">Paychecks!H23</f>
        <v>0</v>
      </c>
    </row>
    <row r="54" customFormat="false" ht="15" hidden="false" customHeight="false" outlineLevel="0" collapsed="false">
      <c r="A54" s="4" t="n">
        <f aca="false">Paychecks!A24</f>
        <v>23</v>
      </c>
      <c r="B54" s="10" t="n">
        <f aca="false">Paychecks!B24</f>
        <v>46577</v>
      </c>
      <c r="C54" s="11" t="n">
        <f aca="false">Paychecks!D24</f>
        <v>0</v>
      </c>
      <c r="D54" s="11" t="n">
        <f aca="false">Paychecks!E24</f>
        <v>0</v>
      </c>
      <c r="E54" s="11" t="n">
        <f aca="false">Paychecks!F24</f>
        <v>0</v>
      </c>
      <c r="F54" s="11" t="n">
        <f aca="false">Paychecks!H24</f>
        <v>0</v>
      </c>
    </row>
    <row r="55" customFormat="false" ht="15" hidden="false" customHeight="false" outlineLevel="0" collapsed="false">
      <c r="A55" s="4" t="n">
        <f aca="false">Paychecks!A25</f>
        <v>24</v>
      </c>
      <c r="B55" s="10" t="n">
        <f aca="false">Paychecks!B25</f>
        <v>46591</v>
      </c>
      <c r="C55" s="11" t="n">
        <f aca="false">Paychecks!D25</f>
        <v>0</v>
      </c>
      <c r="D55" s="11" t="n">
        <f aca="false">Paychecks!E25</f>
        <v>0</v>
      </c>
      <c r="E55" s="11" t="n">
        <f aca="false">Paychecks!F25</f>
        <v>0</v>
      </c>
      <c r="F55" s="11" t="n">
        <f aca="false">Paychecks!H25</f>
        <v>0</v>
      </c>
    </row>
    <row r="56" customFormat="false" ht="15" hidden="false" customHeight="false" outlineLevel="0" collapsed="false">
      <c r="A56" s="4" t="n">
        <f aca="false">Paychecks!A26</f>
        <v>25</v>
      </c>
      <c r="B56" s="10" t="n">
        <f aca="false">Paychecks!B26</f>
        <v>46605</v>
      </c>
      <c r="C56" s="11" t="n">
        <f aca="false">Paychecks!D26</f>
        <v>0</v>
      </c>
      <c r="D56" s="11" t="n">
        <f aca="false">Paychecks!E26</f>
        <v>0</v>
      </c>
      <c r="E56" s="11" t="n">
        <f aca="false">Paychecks!F26</f>
        <v>0</v>
      </c>
      <c r="F56" s="11" t="n">
        <f aca="false">Paychecks!H26</f>
        <v>0</v>
      </c>
    </row>
    <row r="57" customFormat="false" ht="15" hidden="false" customHeight="false" outlineLevel="0" collapsed="false">
      <c r="A57" s="4" t="n">
        <f aca="false">Paychecks!A27</f>
        <v>26</v>
      </c>
      <c r="B57" s="10" t="n">
        <f aca="false">Paychecks!B27</f>
        <v>46619</v>
      </c>
      <c r="C57" s="11" t="n">
        <f aca="false">Paychecks!D27</f>
        <v>0</v>
      </c>
      <c r="D57" s="11" t="n">
        <f aca="false">Paychecks!E27</f>
        <v>0</v>
      </c>
      <c r="E57" s="11" t="n">
        <f aca="false">Paychecks!F27</f>
        <v>0</v>
      </c>
      <c r="F57" s="11" t="n">
        <f aca="false">Paychecks!H27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2026-08-21T05:01:57Z</dcterms:created>
  <dc:creator>openpyxl</dc:creator>
  <dc:description/>
  <dc:language>en-US</dc:language>
  <cp:lastModifiedBy/>
  <dcterms:modified xsi:type="dcterms:W3CDTF">2026-08-21T05:13:32Z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